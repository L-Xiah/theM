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8"/>
  </bookViews>
  <sheets>
    <sheet name="图表" sheetId="1" r:id="rId1"/>
    <sheet name="函数" sheetId="3" r:id="rId2"/>
    <sheet name="收益" sheetId="17" r:id="rId3"/>
    <sheet name="利率" sheetId="21" r:id="rId4"/>
    <sheet name="格式路径" sheetId="10" r:id="rId5"/>
    <sheet name="rotate" sheetId="16" r:id="rId6"/>
    <sheet name="temp" sheetId="13" r:id="rId7"/>
    <sheet name="Sheet1" sheetId="15" r:id="rId8"/>
    <sheet name="Sheet2" sheetId="20" r:id="rId9"/>
  </sheets>
  <calcPr calcId="162913"/>
</workbook>
</file>

<file path=xl/calcChain.xml><?xml version="1.0" encoding="utf-8"?>
<calcChain xmlns="http://schemas.openxmlformats.org/spreadsheetml/2006/main">
  <c r="D12" i="21" l="1"/>
  <c r="D13" i="21" s="1"/>
  <c r="L9" i="21"/>
  <c r="L13" i="21" s="1"/>
  <c r="O11" i="21" s="1"/>
  <c r="R11" i="21" l="1"/>
  <c r="T11" i="21" s="1"/>
  <c r="P11" i="21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<sst xmlns="http://schemas.openxmlformats.org/spreadsheetml/2006/main" count="148" uniqueCount="117">
  <si>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</si>
  <si>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</si>
  <si>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</si>
  <si>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</si>
  <si>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</si>
  <si>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</si>
  <si>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</si>
  <si>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</si>
  <si>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</si>
  <si>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</si>
  <si>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</si>
  <si>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</si>
  <si>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</si>
  <si>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</si>
  <si>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</si>
  <si>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</si>
  <si>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</si>
  <si>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</si>
  <si>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</si>
  <si>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</si>
  <si>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</si>
  <si>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</si>
  <si>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</si>
  <si>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</si>
  <si>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</si>
  <si>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</si>
  <si>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</si>
  <si>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</si>
  <si>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</si>
  <si>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</si>
  <si>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</si>
  <si>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</si>
  <si>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</si>
  <si>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</si>
  <si>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</si>
  <si>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</si>
  <si>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</si>
  <si>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</si>
  <si>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</si>
  <si>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</si>
  <si>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</si>
  <si>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</si>
  <si>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</si>
  <si>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</si>
  <si>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</si>
  <si>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</si>
  <si>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</si>
  <si>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</si>
  <si>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</si>
  <si>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</si>
  <si>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</si>
  <si>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</si>
  <si>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</si>
  <si>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</si>
  <si>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</si>
  <si>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</si>
  <si>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</si>
  <si>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</si>
  <si>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</si>
  <si>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</si>
  <si>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</si>
  <si>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</si>
  <si>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</si>
  <si>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</si>
  <si>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</si>
  <si>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</si>
  <si>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</si>
  <si>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</si>
  <si>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</si>
  <si>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</si>
  <si>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</si>
  <si>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</si>
  <si>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</si>
  <si>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</si>
  <si>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</si>
  <si>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</si>
  <si>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</si>
  <si>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</si>
  <si>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</si>
  <si>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</si>
  <si>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</si>
  <si>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</si>
  <si>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</si>
  <si>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</si>
  <si>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</si>
  <si>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</si>
  <si>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</si>
  <si>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</si>
  <si>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</si>
  <si>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</si>
  <si>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</si>
  <si>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</si>
  <si>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</si>
  <si>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</si>
  <si>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</si>
  <si>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</si>
  <si>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</si>
  <si>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</si>
  <si>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</si>
  <si>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</si>
  <si>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</si>
  <si>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</si>
  <si>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</si>
  <si>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</si>
  <si>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</si>
  <si>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</si>
  <si>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$</t>
    <phoneticPr fontId="1" type="noConversion"/>
  </si>
  <si>
    <t>提前</t>
    <phoneticPr fontId="1" type="noConversion"/>
  </si>
  <si>
    <t>总还</t>
    <phoneticPr fontId="1" type="noConversion"/>
  </si>
  <si>
    <t>剩余</t>
    <phoneticPr fontId="1" type="noConversion"/>
  </si>
  <si>
    <t>提前</t>
    <phoneticPr fontId="1" type="noConversion"/>
  </si>
  <si>
    <t>利率</t>
    <phoneticPr fontId="1" type="noConversion"/>
  </si>
  <si>
    <t>N（月数）</t>
    <phoneticPr fontId="1" type="noConversion"/>
  </si>
  <si>
    <t>剩余每月还贷</t>
    <phoneticPr fontId="1" type="noConversion"/>
  </si>
  <si>
    <t>--</t>
    <phoneticPr fontId="1" type="noConversion"/>
  </si>
  <si>
    <r>
      <rPr>
        <sz val="11"/>
        <color theme="1"/>
        <rFont val="宋体"/>
        <family val="3"/>
        <charset val="134"/>
      </rPr>
      <t>∽</t>
    </r>
    <r>
      <rPr>
        <sz val="11"/>
        <color theme="1"/>
        <rFont val="宋体"/>
        <family val="2"/>
        <scheme val="minor"/>
      </rPr>
      <t>53</t>
    </r>
    <phoneticPr fontId="1" type="noConversion"/>
  </si>
  <si>
    <t>21b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</si>
</sst>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quotePrefix="1" applyAlignment="1">
      <alignment horizontal="center"/>
    </xf>
    <xf numFmtId="20" fontId="0" fillId="0" borderId="0" xfId="0" applyNumberFormat="1"/>
    <xf numFmtId="20" fontId="4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38" t="s">
        <v>0</v>
      </c>
      <c r="B3" s="39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38"/>
      <c r="B4" s="38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38" t="s">
        <v>1</v>
      </c>
      <c r="B5" s="38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38"/>
      <c r="B6" s="38"/>
      <c r="K6" t="s">
        <v>42</v>
      </c>
      <c r="L6">
        <v>2046.5</v>
      </c>
    </row>
    <row r="7" spans="1:12" x14ac:dyDescent="0.15">
      <c r="A7" s="38" t="s">
        <v>2</v>
      </c>
      <c r="B7" s="38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38"/>
      <c r="B8" s="38"/>
      <c r="K8" t="s">
        <v>44</v>
      </c>
      <c r="L8">
        <v>1903.2</v>
      </c>
    </row>
    <row r="9" spans="1:12" x14ac:dyDescent="0.15">
      <c r="A9" s="38" t="s">
        <v>0</v>
      </c>
      <c r="B9" s="40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38"/>
      <c r="B10" s="38"/>
      <c r="C10" t="s">
        <v>10</v>
      </c>
      <c r="K10" t="s">
        <v>46</v>
      </c>
      <c r="L10">
        <v>2540.8000000000002</v>
      </c>
    </row>
    <row r="11" spans="1:12" x14ac:dyDescent="0.15">
      <c r="A11" s="38" t="s">
        <v>1</v>
      </c>
      <c r="B11" s="38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38"/>
      <c r="B12" s="38"/>
      <c r="K12" t="s">
        <v>48</v>
      </c>
      <c r="L12">
        <v>2108.5</v>
      </c>
    </row>
    <row r="13" spans="1:12" x14ac:dyDescent="0.15">
      <c r="A13" s="38" t="s">
        <v>2</v>
      </c>
      <c r="B13" s="38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38"/>
      <c r="B14" s="38"/>
      <c r="K14" t="s">
        <v>50</v>
      </c>
      <c r="L14">
        <v>2315.6999999999998</v>
      </c>
    </row>
    <row r="15" spans="1:12" x14ac:dyDescent="0.15">
      <c r="A15" s="38" t="s">
        <v>0</v>
      </c>
      <c r="B15" s="39" t="s">
        <v>16</v>
      </c>
      <c r="C15" t="s">
        <v>19</v>
      </c>
      <c r="D15" t="s">
        <v>20</v>
      </c>
    </row>
    <row r="16" spans="1:12" x14ac:dyDescent="0.15">
      <c r="A16" s="38"/>
      <c r="B16" s="38"/>
      <c r="C16" t="s">
        <v>10</v>
      </c>
    </row>
    <row r="17" spans="1:12" x14ac:dyDescent="0.15">
      <c r="A17" s="38" t="s">
        <v>1</v>
      </c>
      <c r="B17" s="38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38"/>
      <c r="B18" s="38"/>
      <c r="K18" t="s">
        <v>52</v>
      </c>
      <c r="L18">
        <v>30000</v>
      </c>
    </row>
    <row r="19" spans="1:12" x14ac:dyDescent="0.15">
      <c r="A19" s="38" t="s">
        <v>2</v>
      </c>
      <c r="B19" s="38"/>
      <c r="C19" t="s">
        <v>9</v>
      </c>
      <c r="D19" t="s">
        <v>9</v>
      </c>
    </row>
    <row r="20" spans="1:12" x14ac:dyDescent="0.15">
      <c r="A20" s="38"/>
      <c r="B20" s="38"/>
      <c r="K20" t="s">
        <v>53</v>
      </c>
      <c r="L20">
        <f>L17/L18</f>
        <v>0.79291333333333336</v>
      </c>
    </row>
    <row r="21" spans="1:12" x14ac:dyDescent="0.15">
      <c r="A21" s="38" t="s">
        <v>0</v>
      </c>
      <c r="B21" s="40" t="s">
        <v>17</v>
      </c>
      <c r="C21" t="s">
        <v>19</v>
      </c>
      <c r="D21" t="s">
        <v>22</v>
      </c>
    </row>
    <row r="22" spans="1:12" x14ac:dyDescent="0.15">
      <c r="A22" s="38"/>
      <c r="B22" s="38"/>
      <c r="C22" t="s">
        <v>21</v>
      </c>
    </row>
    <row r="23" spans="1:12" x14ac:dyDescent="0.15">
      <c r="A23" s="38" t="s">
        <v>1</v>
      </c>
      <c r="B23" s="38"/>
      <c r="C23" t="s">
        <v>18</v>
      </c>
      <c r="D23" t="s">
        <v>18</v>
      </c>
    </row>
    <row r="24" spans="1:12" x14ac:dyDescent="0.15">
      <c r="A24" s="38"/>
      <c r="B24" s="38"/>
    </row>
    <row r="25" spans="1:12" x14ac:dyDescent="0.15">
      <c r="A25" s="38" t="s">
        <v>2</v>
      </c>
      <c r="B25" s="38"/>
      <c r="C25" t="s">
        <v>12</v>
      </c>
      <c r="D25" t="s">
        <v>13</v>
      </c>
    </row>
    <row r="26" spans="1:12" x14ac:dyDescent="0.15">
      <c r="A26" s="38"/>
      <c r="B26" s="38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3:A4"/>
    <mergeCell ref="A5:A6"/>
    <mergeCell ref="A7:A8"/>
    <mergeCell ref="B3:B8"/>
    <mergeCell ref="B9:B14"/>
    <mergeCell ref="A9:A10"/>
    <mergeCell ref="A11:A12"/>
    <mergeCell ref="A13:A14"/>
    <mergeCell ref="A15:A16"/>
    <mergeCell ref="B15:B20"/>
    <mergeCell ref="A17:A18"/>
    <mergeCell ref="A19:A20"/>
    <mergeCell ref="A21:A22"/>
    <mergeCell ref="B21:B26"/>
    <mergeCell ref="A23:A24"/>
    <mergeCell ref="A25:A2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41" t="s">
        <v>29</v>
      </c>
      <c r="B3" s="41"/>
      <c r="C3" s="41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41"/>
      <c r="B4" s="41"/>
      <c r="C4" s="41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41"/>
      <c r="B5" s="41"/>
      <c r="C5" s="41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41"/>
      <c r="B6" s="41"/>
      <c r="C6" s="41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41"/>
      <c r="B7" s="41"/>
      <c r="C7" s="41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41"/>
      <c r="B8" s="41"/>
      <c r="C8" s="41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41"/>
      <c r="B9" s="41"/>
      <c r="C9" s="41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41"/>
      <c r="B10" s="41"/>
      <c r="C10" s="41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41"/>
      <c r="B11" s="41"/>
      <c r="C11" s="41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41"/>
      <c r="B12" s="41"/>
      <c r="C12" s="41"/>
    </row>
    <row r="13" spans="1:15" x14ac:dyDescent="0.15">
      <c r="A13" s="41"/>
      <c r="B13" s="41"/>
      <c r="C13" s="41"/>
      <c r="D13">
        <f>SUMPRODUCT((E1:E9=D10)*(G1:G9=D11))</f>
        <v>0</v>
      </c>
    </row>
    <row r="14" spans="1:15" x14ac:dyDescent="0.15">
      <c r="A14" s="41"/>
      <c r="B14" s="41"/>
      <c r="C14" s="41"/>
    </row>
    <row r="15" spans="1:15" x14ac:dyDescent="0.15">
      <c r="A15" s="41"/>
      <c r="B15" s="41"/>
      <c r="C15" s="41"/>
      <c r="F15">
        <f>SUMPRODUCT((E2:E4=D10)*(F1:G1=D11),L8:M10)</f>
        <v>78</v>
      </c>
    </row>
    <row r="16" spans="1:15" x14ac:dyDescent="0.15">
      <c r="A16" s="41"/>
      <c r="B16" s="41"/>
      <c r="C16" s="41"/>
    </row>
    <row r="18" spans="1:5" x14ac:dyDescent="0.15">
      <c r="A18" s="41" t="s">
        <v>30</v>
      </c>
      <c r="B18" s="41"/>
      <c r="C18" s="41"/>
      <c r="D18">
        <f>SUMIF(E2:E4,D10,F2:F4)</f>
        <v>11</v>
      </c>
    </row>
    <row r="19" spans="1:5" x14ac:dyDescent="0.15">
      <c r="A19" s="41"/>
      <c r="B19" s="41"/>
      <c r="C19" s="41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workbookViewId="0">
      <selection activeCell="E26" sqref="E26"/>
    </sheetView>
  </sheetViews>
  <sheetFormatPr defaultRowHeight="13.5" x14ac:dyDescent="0.15"/>
  <cols>
    <col min="1" max="1" width="13.625" customWidth="1"/>
  </cols>
  <sheetData>
    <row r="3" spans="1:2" x14ac:dyDescent="0.15">
      <c r="A3" t="s">
        <v>38</v>
      </c>
      <c r="B3" t="s">
        <v>90</v>
      </c>
    </row>
    <row r="4" spans="1:2" x14ac:dyDescent="0.15">
      <c r="A4">
        <v>1</v>
      </c>
      <c r="B4">
        <v>-50000</v>
      </c>
    </row>
    <row r="5" spans="1:2" x14ac:dyDescent="0.15">
      <c r="A5">
        <v>2</v>
      </c>
      <c r="B5">
        <v>0</v>
      </c>
    </row>
    <row r="6" spans="1:2" x14ac:dyDescent="0.15">
      <c r="A6">
        <v>3</v>
      </c>
      <c r="B6">
        <v>0</v>
      </c>
    </row>
    <row r="7" spans="1:2" x14ac:dyDescent="0.15">
      <c r="A7">
        <v>4</v>
      </c>
      <c r="B7">
        <v>0</v>
      </c>
    </row>
    <row r="8" spans="1:2" x14ac:dyDescent="0.15">
      <c r="A8">
        <v>5</v>
      </c>
      <c r="B8">
        <v>0</v>
      </c>
    </row>
    <row r="9" spans="1:2" x14ac:dyDescent="0.15">
      <c r="A9">
        <v>6</v>
      </c>
      <c r="B9">
        <v>0</v>
      </c>
    </row>
    <row r="10" spans="1:2" x14ac:dyDescent="0.15">
      <c r="A10">
        <v>7</v>
      </c>
      <c r="B10">
        <v>0</v>
      </c>
    </row>
    <row r="11" spans="1:2" x14ac:dyDescent="0.15">
      <c r="A11">
        <v>8</v>
      </c>
      <c r="B11">
        <v>0</v>
      </c>
    </row>
    <row r="12" spans="1:2" x14ac:dyDescent="0.15">
      <c r="A12">
        <v>9</v>
      </c>
      <c r="B12">
        <v>0</v>
      </c>
    </row>
    <row r="13" spans="1:2" x14ac:dyDescent="0.15">
      <c r="A13">
        <v>10</v>
      </c>
      <c r="B13">
        <v>0</v>
      </c>
    </row>
    <row r="14" spans="1:2" x14ac:dyDescent="0.15">
      <c r="A14">
        <v>11</v>
      </c>
      <c r="B14">
        <v>0</v>
      </c>
    </row>
    <row r="15" spans="1:2" x14ac:dyDescent="0.15">
      <c r="A15">
        <v>12</v>
      </c>
      <c r="B15">
        <v>0</v>
      </c>
    </row>
    <row r="16" spans="1:2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91</v>
      </c>
      <c r="B26" s="20">
        <f>IRR(B4:B25)</f>
        <v>3.543862055325242E-2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T14"/>
  <sheetViews>
    <sheetView workbookViewId="0">
      <selection activeCell="S18" sqref="S18"/>
    </sheetView>
  </sheetViews>
  <sheetFormatPr defaultRowHeight="13.5" x14ac:dyDescent="0.15"/>
  <cols>
    <col min="3" max="3" width="10.5" bestFit="1" customWidth="1"/>
    <col min="5" max="5" width="10.5" bestFit="1" customWidth="1"/>
    <col min="7" max="7" width="10.5" bestFit="1" customWidth="1"/>
    <col min="10" max="10" width="11.125" customWidth="1"/>
    <col min="11" max="11" width="10.625" customWidth="1"/>
    <col min="12" max="12" width="10.5" bestFit="1" customWidth="1"/>
    <col min="13" max="13" width="10.5" customWidth="1"/>
    <col min="14" max="14" width="10.5" bestFit="1" customWidth="1"/>
  </cols>
  <sheetData>
    <row r="6" spans="3:20" x14ac:dyDescent="0.15">
      <c r="C6">
        <v>300000</v>
      </c>
      <c r="J6" s="33">
        <v>42571</v>
      </c>
      <c r="K6" s="33">
        <v>51672</v>
      </c>
      <c r="L6">
        <v>300</v>
      </c>
    </row>
    <row r="7" spans="3:20" ht="13.5" customHeight="1" x14ac:dyDescent="0.15">
      <c r="C7" t="s">
        <v>106</v>
      </c>
      <c r="D7">
        <v>1000</v>
      </c>
      <c r="G7">
        <v>970</v>
      </c>
      <c r="N7" s="38" t="s">
        <v>110</v>
      </c>
      <c r="O7">
        <v>770</v>
      </c>
      <c r="Q7" s="34" t="s">
        <v>111</v>
      </c>
      <c r="R7">
        <v>4.1399999999999999E-2</v>
      </c>
    </row>
    <row r="8" spans="3:20" x14ac:dyDescent="0.15">
      <c r="C8" s="33">
        <v>42571</v>
      </c>
      <c r="E8" s="33">
        <v>43881</v>
      </c>
      <c r="G8" s="33">
        <v>43910</v>
      </c>
      <c r="N8" s="38"/>
      <c r="Q8" s="42" t="s">
        <v>113</v>
      </c>
    </row>
    <row r="9" spans="3:20" x14ac:dyDescent="0.15">
      <c r="C9" t="s">
        <v>112</v>
      </c>
      <c r="D9">
        <v>44</v>
      </c>
      <c r="G9">
        <v>2</v>
      </c>
      <c r="L9">
        <f>SUM(D9:J9)</f>
        <v>46</v>
      </c>
      <c r="N9" s="38"/>
      <c r="Q9" s="42"/>
    </row>
    <row r="10" spans="3:20" x14ac:dyDescent="0.15">
      <c r="N10" s="38"/>
      <c r="Q10" s="42"/>
    </row>
    <row r="11" spans="3:20" x14ac:dyDescent="0.15">
      <c r="C11" t="s">
        <v>107</v>
      </c>
      <c r="D11">
        <v>6000</v>
      </c>
      <c r="E11">
        <v>1680</v>
      </c>
      <c r="N11" s="38"/>
      <c r="O11">
        <f>O7*L13</f>
        <v>195580</v>
      </c>
      <c r="P11">
        <f>D13-O11</f>
        <v>50800</v>
      </c>
      <c r="Q11" s="42"/>
      <c r="R11">
        <f>O11*R7/12</f>
        <v>674.75099999999998</v>
      </c>
      <c r="T11">
        <f>O7+R11</f>
        <v>1444.751</v>
      </c>
    </row>
    <row r="12" spans="3:20" x14ac:dyDescent="0.15">
      <c r="C12" t="s">
        <v>108</v>
      </c>
      <c r="D12">
        <f>D7*D9+G7*G9+SUM(D11:G11)</f>
        <v>53620</v>
      </c>
      <c r="N12" s="38"/>
      <c r="Q12" s="42"/>
    </row>
    <row r="13" spans="3:20" x14ac:dyDescent="0.15">
      <c r="C13" t="s">
        <v>109</v>
      </c>
      <c r="D13">
        <f>C6-D12</f>
        <v>246380</v>
      </c>
      <c r="L13">
        <f>L6-L9</f>
        <v>254</v>
      </c>
      <c r="N13" s="38"/>
      <c r="Q13" s="42"/>
    </row>
    <row r="14" spans="3:20" x14ac:dyDescent="0.15">
      <c r="N14" s="38"/>
      <c r="Q14" s="42"/>
    </row>
  </sheetData>
  <mergeCells count="2">
    <mergeCell ref="N7:N14"/>
    <mergeCell ref="Q8:Q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43" t="s">
        <v>85</v>
      </c>
      <c r="D3" s="43"/>
      <c r="E3" s="43"/>
      <c r="G3" s="44" t="s">
        <v>86</v>
      </c>
      <c r="H3" s="44"/>
      <c r="I3" s="44"/>
      <c r="J3" s="44"/>
      <c r="K3" s="44"/>
      <c r="M3" s="45" t="s">
        <v>80</v>
      </c>
      <c r="N3" s="45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19">
        <f>DEGREES(G7)</f>
        <v>-168.59995074999512</v>
      </c>
      <c r="I8" s="19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workbookViewId="0">
      <selection activeCell="J25" sqref="J25"/>
    </sheetView>
  </sheetViews>
  <sheetFormatPr defaultRowHeight="13.5" x14ac:dyDescent="0.1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 x14ac:dyDescent="0.15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 x14ac:dyDescent="0.15">
      <c r="A5" s="46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 x14ac:dyDescent="0.15">
      <c r="A6" s="46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 x14ac:dyDescent="0.15">
      <c r="A7" s="46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 x14ac:dyDescent="0.15">
      <c r="A8" s="46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 x14ac:dyDescent="0.15">
      <c r="A9" s="46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 x14ac:dyDescent="0.15">
      <c r="N10" s="12"/>
      <c r="O10" s="13"/>
      <c r="P10" s="13"/>
      <c r="Q10" s="13"/>
      <c r="R10" s="13"/>
      <c r="S10" s="13"/>
      <c r="T10" s="13"/>
      <c r="U10" s="14"/>
    </row>
    <row r="11" spans="1:21" x14ac:dyDescent="0.15">
      <c r="N11" s="11"/>
      <c r="O11" s="11"/>
      <c r="P11" s="11"/>
      <c r="Q11" s="11"/>
      <c r="R11" s="11"/>
      <c r="S11" s="11"/>
      <c r="T11" s="11"/>
      <c r="U11" s="11"/>
    </row>
    <row r="12" spans="1:21" x14ac:dyDescent="0.15">
      <c r="A12" s="46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 x14ac:dyDescent="0.15">
      <c r="A13" s="46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 x14ac:dyDescent="0.15">
      <c r="A14" s="46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 x14ac:dyDescent="0.15">
      <c r="A15" s="46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 x14ac:dyDescent="0.15">
      <c r="A16" s="46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 x14ac:dyDescent="0.15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 x14ac:dyDescent="0.15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 x14ac:dyDescent="0.15">
      <c r="E23" s="4" t="s">
        <v>71</v>
      </c>
      <c r="G23" s="4" t="s">
        <v>72</v>
      </c>
      <c r="I23" s="4" t="s">
        <v>73</v>
      </c>
    </row>
    <row r="24" spans="4:11" x14ac:dyDescent="0.15">
      <c r="D24" s="4" t="s">
        <v>74</v>
      </c>
      <c r="E24" s="4">
        <v>80</v>
      </c>
      <c r="G24" s="4">
        <v>20</v>
      </c>
    </row>
    <row r="25" spans="4:11" x14ac:dyDescent="0.15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 x14ac:dyDescent="0.15">
      <c r="D31" s="4">
        <v>11454.4</v>
      </c>
      <c r="F31" s="4">
        <v>1408</v>
      </c>
    </row>
    <row r="32" spans="4:11" x14ac:dyDescent="0.15">
      <c r="F32" s="4">
        <v>804</v>
      </c>
    </row>
    <row r="33" spans="2:4" x14ac:dyDescent="0.15">
      <c r="B33" s="4">
        <f>SUM(C33:C34)</f>
        <v>3642.2</v>
      </c>
      <c r="C33" s="4">
        <v>2555.56</v>
      </c>
    </row>
    <row r="34" spans="2:4" x14ac:dyDescent="0.15">
      <c r="C34" s="4">
        <v>1086.6400000000001</v>
      </c>
    </row>
    <row r="39" spans="2:4" x14ac:dyDescent="0.15">
      <c r="D39" s="4">
        <v>1380</v>
      </c>
    </row>
    <row r="40" spans="2:4" x14ac:dyDescent="0.15">
      <c r="D40" s="4">
        <v>2014.3</v>
      </c>
    </row>
    <row r="41" spans="2:4" x14ac:dyDescent="0.15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 x14ac:dyDescent="0.15">
      <c r="C42" s="4">
        <f>C41+D40</f>
        <v>5649.58</v>
      </c>
    </row>
    <row r="48" spans="2:4" x14ac:dyDescent="0.15">
      <c r="D48" s="21">
        <v>765269496.78999996</v>
      </c>
    </row>
    <row r="51" spans="3:13" x14ac:dyDescent="0.15">
      <c r="D51" s="21">
        <v>1486215187.5999999</v>
      </c>
    </row>
    <row r="52" spans="3:13" x14ac:dyDescent="0.15">
      <c r="D52" s="21">
        <v>984032174.19000006</v>
      </c>
    </row>
    <row r="54" spans="3:13" x14ac:dyDescent="0.15">
      <c r="C54" s="4" t="s">
        <v>92</v>
      </c>
      <c r="D54" s="21">
        <f>D51-D52</f>
        <v>502183013.40999985</v>
      </c>
    </row>
    <row r="56" spans="3:13" x14ac:dyDescent="0.15">
      <c r="D56" s="21"/>
    </row>
    <row r="57" spans="3:13" x14ac:dyDescent="0.15">
      <c r="D57" s="21">
        <v>887245.81</v>
      </c>
    </row>
    <row r="58" spans="3:13" x14ac:dyDescent="0.15">
      <c r="D58" s="21">
        <v>209162813.22999999</v>
      </c>
      <c r="E58" s="21">
        <v>185229557.30000001</v>
      </c>
    </row>
    <row r="59" spans="3:13" x14ac:dyDescent="0.15">
      <c r="D59" s="21">
        <v>52833840</v>
      </c>
      <c r="H59" s="47"/>
      <c r="I59" s="47"/>
      <c r="J59" s="47"/>
      <c r="K59" s="47"/>
      <c r="L59" s="47"/>
      <c r="M59" s="47"/>
    </row>
    <row r="60" spans="3:13" x14ac:dyDescent="0.15">
      <c r="D60" s="21">
        <v>-66567.149999999994</v>
      </c>
    </row>
    <row r="61" spans="3:13" x14ac:dyDescent="0.15">
      <c r="D61" s="21">
        <v>269151.49</v>
      </c>
    </row>
    <row r="65" spans="3:4" x14ac:dyDescent="0.15">
      <c r="C65" s="4" t="s">
        <v>93</v>
      </c>
      <c r="D65" s="21">
        <f>SUM(D57:D61)</f>
        <v>263086483.38</v>
      </c>
    </row>
    <row r="68" spans="3:4" x14ac:dyDescent="0.15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9"/>
  <sheetViews>
    <sheetView tabSelected="1" workbookViewId="0">
      <selection activeCell="A5" sqref="A5"/>
    </sheetView>
  </sheetViews>
  <sheetFormatPr defaultRowHeight="13.5" x14ac:dyDescent="0.15"/>
  <cols>
    <col min="1" max="2" width="10.5" bestFit="1" customWidth="1"/>
  </cols>
  <sheetData>
    <row r="3" spans="1:20" ht="14.25" thickBot="1" x14ac:dyDescent="0.2"/>
    <row r="4" spans="1:20" x14ac:dyDescent="0.15">
      <c r="B4" s="23"/>
      <c r="C4" s="24"/>
      <c r="D4" s="24"/>
      <c r="E4" s="24"/>
      <c r="F4" s="24"/>
      <c r="G4" s="24"/>
      <c r="H4" s="24"/>
      <c r="I4" s="24"/>
      <c r="J4" s="24"/>
      <c r="K4" s="24"/>
      <c r="L4" s="25"/>
    </row>
    <row r="5" spans="1:20" x14ac:dyDescent="0.15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</row>
    <row r="6" spans="1:20" x14ac:dyDescent="0.15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20" ht="14.25" thickBot="1" x14ac:dyDescent="0.2"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</row>
    <row r="11" spans="1:20" x14ac:dyDescent="0.15">
      <c r="B11" s="17"/>
      <c r="C11" s="52" t="s">
        <v>115</v>
      </c>
      <c r="F11" s="36">
        <v>21</v>
      </c>
      <c r="G11" s="36"/>
      <c r="H11" s="36" t="s">
        <v>116</v>
      </c>
    </row>
    <row r="12" spans="1:20" x14ac:dyDescent="0.15">
      <c r="A12" s="33"/>
      <c r="B12" s="51">
        <v>0.28472222222222221</v>
      </c>
      <c r="C12" s="37" t="s">
        <v>114</v>
      </c>
      <c r="D12" s="51">
        <v>0.3215277777777778</v>
      </c>
      <c r="F12" s="49">
        <v>0.3125</v>
      </c>
      <c r="H12" s="49">
        <v>0.31944444444444448</v>
      </c>
    </row>
    <row r="13" spans="1:20" x14ac:dyDescent="0.15">
      <c r="B13" s="17"/>
      <c r="D13" s="36"/>
      <c r="F13" s="49">
        <v>0.32291666666666669</v>
      </c>
      <c r="H13" s="49">
        <v>0.32430555555555557</v>
      </c>
      <c r="T13" s="32"/>
    </row>
    <row r="14" spans="1:20" ht="14.25" x14ac:dyDescent="0.15">
      <c r="B14" s="50">
        <v>0.28055555555555556</v>
      </c>
      <c r="C14" s="48" t="s">
        <v>114</v>
      </c>
      <c r="D14" s="51">
        <v>0.31666666666666665</v>
      </c>
      <c r="F14" s="49">
        <v>0.33333333333333331</v>
      </c>
      <c r="H14" s="49">
        <v>0.33194444444444443</v>
      </c>
    </row>
    <row r="15" spans="1:20" x14ac:dyDescent="0.15">
      <c r="B15" s="17"/>
      <c r="D15" s="36"/>
    </row>
    <row r="16" spans="1:20" x14ac:dyDescent="0.15">
      <c r="B16" s="51">
        <v>0.27638888888888885</v>
      </c>
      <c r="C16" s="37" t="s">
        <v>114</v>
      </c>
      <c r="D16" s="51">
        <v>0.3125</v>
      </c>
    </row>
    <row r="17" spans="1:20" x14ac:dyDescent="0.15">
      <c r="A17" s="33"/>
      <c r="B17" s="17"/>
      <c r="D17" s="36"/>
      <c r="T17" s="32"/>
    </row>
    <row r="19" spans="1:20" ht="14.25" x14ac:dyDescent="0.15">
      <c r="B19" s="3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利率</vt:lpstr>
      <vt:lpstr>格式路径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2020-05-06T01:42:08Z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