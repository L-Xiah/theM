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1170" yWindow="105" windowWidth="14805" windowHeight="8010" activeTab="6"/>
  </bookViews>
  <sheets>
    <sheet name="图表" sheetId="1" r:id="rId1"/>
    <sheet name="函数" sheetId="3" r:id="rId2"/>
    <sheet name="收益" sheetId="17" r:id="rId3"/>
    <sheet name="格式路径" sheetId="10" r:id="rId4"/>
    <sheet name="rotate" sheetId="16" r:id="rId5"/>
    <sheet name="temp" sheetId="13" r:id="rId6"/>
    <sheet name="Sheet1" sheetId="15" r:id="rId7"/>
    <sheet name="Sheet2" sheetId="18" r:id="rId8"/>
    <sheet name="Sheet3" sheetId="19" r:id="rId9"/>
  </sheets>
  <calcPr calcId="162913"/>
</workbook>
</file>

<file path=xl/calcChain.xml><?xml version="1.0" encoding="utf-8"?>
<calcChain xmlns="http://schemas.openxmlformats.org/spreadsheetml/2006/main">
  <c r="L20" i="15" l="1"/>
  <c r="L21" i="15"/>
  <c r="L22" i="15"/>
  <c r="L23" i="15"/>
  <c r="L19" i="15"/>
  <c r="L18" i="15"/>
  <c r="D68" i="13" l="1"/>
  <c r="D65" i="13"/>
  <c r="D54" i="13"/>
  <c r="C3" i="19" l="1"/>
  <c r="S43" i="19"/>
  <c r="U42" i="19"/>
  <c r="R43" i="19"/>
  <c r="S42" i="19"/>
  <c r="T42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K36" i="19"/>
  <c r="L36" i="19"/>
  <c r="M36" i="19"/>
  <c r="N36" i="19"/>
  <c r="O36" i="19"/>
  <c r="P36" i="19"/>
  <c r="Q36" i="19"/>
  <c r="R36" i="19"/>
  <c r="S36" i="19"/>
  <c r="T36" i="19"/>
  <c r="U36" i="19"/>
  <c r="L37" i="19"/>
  <c r="M37" i="19"/>
  <c r="N37" i="19"/>
  <c r="O37" i="19"/>
  <c r="P37" i="19"/>
  <c r="Q37" i="19"/>
  <c r="R37" i="19"/>
  <c r="S37" i="19"/>
  <c r="T37" i="19"/>
  <c r="U37" i="19"/>
  <c r="M38" i="19"/>
  <c r="N38" i="19"/>
  <c r="O38" i="19"/>
  <c r="P38" i="19"/>
  <c r="Q38" i="19"/>
  <c r="R38" i="19"/>
  <c r="S38" i="19"/>
  <c r="T38" i="19"/>
  <c r="U38" i="19"/>
  <c r="N39" i="19"/>
  <c r="O39" i="19"/>
  <c r="P39" i="19"/>
  <c r="Q39" i="19"/>
  <c r="R39" i="19"/>
  <c r="S39" i="19"/>
  <c r="T39" i="19"/>
  <c r="U39" i="19"/>
  <c r="O40" i="19"/>
  <c r="P40" i="19"/>
  <c r="Q40" i="19"/>
  <c r="R40" i="19"/>
  <c r="S40" i="19"/>
  <c r="T40" i="19"/>
  <c r="U40" i="19"/>
  <c r="P41" i="19"/>
  <c r="Q41" i="19"/>
  <c r="R41" i="19"/>
  <c r="S41" i="19"/>
  <c r="T41" i="19"/>
  <c r="U41" i="19"/>
  <c r="Q42" i="19"/>
  <c r="R42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B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B4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B5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B6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B7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B8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B9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B10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B11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B12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B13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B14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B15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B16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B17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B18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B19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B20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B21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C2" i="19"/>
  <c r="D2" i="19"/>
  <c r="E2" i="19"/>
  <c r="F2" i="19"/>
  <c r="G2" i="19"/>
  <c r="H2" i="19"/>
  <c r="I2" i="19"/>
  <c r="J2" i="19"/>
  <c r="K2" i="19"/>
  <c r="L2" i="19"/>
  <c r="M2" i="19"/>
  <c r="N2" i="19"/>
  <c r="O2" i="19"/>
  <c r="P2" i="19"/>
  <c r="Q2" i="19"/>
  <c r="R2" i="19"/>
  <c r="S2" i="19"/>
  <c r="T2" i="19"/>
  <c r="U2" i="19"/>
  <c r="B2" i="19"/>
  <c r="T8" i="18" l="1"/>
  <c r="T9" i="18"/>
  <c r="T10" i="18"/>
  <c r="T11" i="18"/>
  <c r="T12" i="18" s="1"/>
  <c r="T13" i="18" s="1"/>
  <c r="T14" i="18" s="1"/>
  <c r="T15" i="18" s="1"/>
  <c r="T16" i="18" s="1"/>
  <c r="T7" i="18"/>
  <c r="T6" i="18"/>
  <c r="R10" i="18"/>
  <c r="R11" i="18" s="1"/>
  <c r="R12" i="18" s="1"/>
  <c r="R13" i="18" s="1"/>
  <c r="R14" i="18" s="1"/>
  <c r="R15" i="18" s="1"/>
  <c r="R16" i="18" s="1"/>
  <c r="R9" i="18"/>
  <c r="R6" i="18"/>
  <c r="Q16" i="18"/>
  <c r="Q15" i="18"/>
  <c r="Q14" i="18"/>
  <c r="Q13" i="18"/>
  <c r="Q12" i="18"/>
  <c r="Q11" i="18"/>
  <c r="Q10" i="18"/>
  <c r="Q9" i="18"/>
  <c r="Q7" i="18"/>
  <c r="Q8" i="18" s="1"/>
  <c r="Q6" i="18"/>
  <c r="M6" i="18"/>
  <c r="S9" i="18" s="1"/>
  <c r="S10" i="18" s="1"/>
  <c r="S11" i="18" s="1"/>
  <c r="S12" i="18" s="1"/>
  <c r="S13" i="18" s="1"/>
  <c r="S14" i="18" s="1"/>
  <c r="S15" i="18" s="1"/>
  <c r="S16" i="18" s="1"/>
  <c r="L6" i="18"/>
  <c r="S6" i="18" s="1"/>
  <c r="S7" i="18" s="1"/>
  <c r="S8" i="18" s="1"/>
  <c r="C18" i="18"/>
  <c r="R7" i="18" l="1"/>
  <c r="R8" i="18" s="1"/>
  <c r="B26" i="17"/>
  <c r="G7" i="16" l="1"/>
  <c r="H7" i="16" s="1"/>
  <c r="I7" i="16" s="1"/>
  <c r="I8" i="16" s="1"/>
  <c r="E14" i="16"/>
  <c r="E15" i="16" s="1"/>
  <c r="K5" i="16"/>
  <c r="G5" i="16"/>
  <c r="G6" i="16" s="1"/>
  <c r="E5" i="16"/>
  <c r="G8" i="16" l="1"/>
  <c r="H5" i="16"/>
  <c r="G8" i="15"/>
  <c r="F8" i="15"/>
  <c r="E2" i="15"/>
  <c r="I5" i="16" l="1"/>
  <c r="J5" i="16" s="1"/>
  <c r="H6" i="16"/>
  <c r="C41" i="13"/>
  <c r="C42" i="13" s="1"/>
  <c r="B33" i="13"/>
  <c r="B41" i="13" s="1"/>
  <c r="I6" i="16" l="1"/>
  <c r="M5" i="16"/>
  <c r="N5" i="16"/>
  <c r="J6" i="16"/>
  <c r="B37" i="3"/>
  <c r="K18" i="13"/>
  <c r="H14" i="13"/>
  <c r="I14" i="13"/>
  <c r="J14" i="13"/>
  <c r="K14" i="13"/>
  <c r="H15" i="13"/>
  <c r="I15" i="13"/>
  <c r="J15" i="13"/>
  <c r="K15" i="13"/>
  <c r="H16" i="13"/>
  <c r="I16" i="13"/>
  <c r="J16" i="13"/>
  <c r="K16" i="13"/>
  <c r="H17" i="13"/>
  <c r="I17" i="13"/>
  <c r="J17" i="13"/>
  <c r="K17" i="13"/>
  <c r="H18" i="13"/>
  <c r="I18" i="13"/>
  <c r="J18" i="13"/>
  <c r="G14" i="13"/>
  <c r="F14" i="13"/>
  <c r="G15" i="13"/>
  <c r="G16" i="13"/>
  <c r="G17" i="13"/>
  <c r="G18" i="13"/>
  <c r="G13" i="13"/>
  <c r="H13" i="13"/>
  <c r="I13" i="13"/>
  <c r="J13" i="13"/>
  <c r="K13" i="13"/>
  <c r="F13" i="13"/>
  <c r="F15" i="13"/>
  <c r="F16" i="13"/>
  <c r="F17" i="13"/>
  <c r="F18" i="13"/>
  <c r="A12" i="13" l="1"/>
  <c r="A5" i="13" l="1"/>
  <c r="B30" i="3" l="1"/>
  <c r="B27" i="3"/>
  <c r="B24" i="3"/>
  <c r="L20" i="1"/>
  <c r="L17" i="1"/>
  <c r="E6" i="10" l="1"/>
  <c r="E4" i="10"/>
  <c r="F15" i="3" l="1"/>
  <c r="D18" i="3"/>
  <c r="E19" i="3"/>
  <c r="D13" i="3"/>
  <c r="G4" i="1" l="1"/>
  <c r="H4" i="1"/>
  <c r="G3" i="1"/>
  <c r="H3" i="1" s="1"/>
</calcChain>
</file>

<file path=xl/sharedStrings.xml><?xml version="1.0" encoding="utf-8"?>
<sst xmlns="http://schemas.openxmlformats.org/spreadsheetml/2006/main" count="135" uniqueCount="106">
  <si>
    <t>X</t>
    <phoneticPr fontId="1" type="noConversion"/>
  </si>
  <si>
    <t>Z</t>
    <phoneticPr fontId="1" type="noConversion"/>
  </si>
  <si>
    <t>W</t>
    <phoneticPr fontId="1" type="noConversion"/>
  </si>
  <si>
    <t>2000A</t>
    <phoneticPr fontId="1" type="noConversion"/>
  </si>
  <si>
    <t>2000B</t>
    <phoneticPr fontId="1" type="noConversion"/>
  </si>
  <si>
    <t>甲</t>
    <phoneticPr fontId="1" type="noConversion"/>
  </si>
  <si>
    <t>乙</t>
    <phoneticPr fontId="1" type="noConversion"/>
  </si>
  <si>
    <t>N</t>
    <phoneticPr fontId="1" type="noConversion"/>
  </si>
  <si>
    <t>1000Z</t>
    <phoneticPr fontId="1" type="noConversion"/>
  </si>
  <si>
    <t>1000W</t>
    <phoneticPr fontId="1" type="noConversion"/>
  </si>
  <si>
    <t>500B</t>
    <phoneticPr fontId="1" type="noConversion"/>
  </si>
  <si>
    <t>1500B</t>
    <phoneticPr fontId="1" type="noConversion"/>
  </si>
  <si>
    <t>500W</t>
    <phoneticPr fontId="1" type="noConversion"/>
  </si>
  <si>
    <t>1500W</t>
    <phoneticPr fontId="1" type="noConversion"/>
  </si>
  <si>
    <t>1-1</t>
    <phoneticPr fontId="1" type="noConversion"/>
  </si>
  <si>
    <t>1-2</t>
    <phoneticPr fontId="1" type="noConversion"/>
  </si>
  <si>
    <t>2-1</t>
    <phoneticPr fontId="1" type="noConversion"/>
  </si>
  <si>
    <t>2-2</t>
    <phoneticPr fontId="1" type="noConversion"/>
  </si>
  <si>
    <t>2000Z</t>
    <phoneticPr fontId="1" type="noConversion"/>
  </si>
  <si>
    <t>4000A</t>
    <phoneticPr fontId="1" type="noConversion"/>
  </si>
  <si>
    <t>3500B</t>
    <phoneticPr fontId="1" type="noConversion"/>
  </si>
  <si>
    <t>1000B</t>
    <phoneticPr fontId="1" type="noConversion"/>
  </si>
  <si>
    <t>3000B</t>
    <phoneticPr fontId="1" type="noConversion"/>
  </si>
  <si>
    <t>https://panl.shanghai-electric.com/</t>
  </si>
  <si>
    <t>asf1</t>
    <phoneticPr fontId="1" type="noConversion"/>
  </si>
  <si>
    <t>asf2</t>
  </si>
  <si>
    <t>yu0</t>
    <phoneticPr fontId="1" type="noConversion"/>
  </si>
  <si>
    <t>asf0</t>
    <phoneticPr fontId="1" type="noConversion"/>
  </si>
  <si>
    <t>yu1</t>
    <phoneticPr fontId="1" type="noConversion"/>
  </si>
  <si>
    <t>SUMPRODUCT()</t>
    <phoneticPr fontId="1" type="noConversion"/>
  </si>
  <si>
    <t>SUMIF()</t>
    <phoneticPr fontId="1" type="noConversion"/>
  </si>
  <si>
    <t>ａｂｃｄｅｆ</t>
    <phoneticPr fontId="1" type="noConversion"/>
  </si>
  <si>
    <t>abcdef</t>
    <phoneticPr fontId="1" type="noConversion"/>
  </si>
  <si>
    <t>全角--〉半角</t>
    <phoneticPr fontId="1" type="noConversion"/>
  </si>
  <si>
    <t>半角--〉全角</t>
    <phoneticPr fontId="1" type="noConversion"/>
  </si>
  <si>
    <t>路径</t>
    <phoneticPr fontId="1" type="noConversion"/>
  </si>
  <si>
    <t>C:\Users\%username%\****</t>
    <phoneticPr fontId="1" type="noConversion"/>
  </si>
  <si>
    <t>%programfiles%\****</t>
    <phoneticPr fontId="1" type="noConversion"/>
  </si>
  <si>
    <t>序号</t>
    <phoneticPr fontId="1" type="noConversion"/>
  </si>
  <si>
    <t>一月</t>
    <phoneticPr fontId="1" type="noConversion"/>
  </si>
  <si>
    <t>二月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</si>
  <si>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</si>
  <si>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</si>
  <si>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</si>
  <si>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</si>
  <si>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</si>
  <si>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</si>
  <si>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</si>
  <si>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</si>
  <si>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</si>
  <si>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</si>
  <si>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总计</t>
    <phoneticPr fontId="1" type="noConversion"/>
  </si>
  <si>
    <t>目标</t>
    <phoneticPr fontId="1" type="noConversion"/>
  </si>
  <si>
    <t>完成情况</t>
    <phoneticPr fontId="1" type="noConversion"/>
  </si>
  <si>
    <t>IF()、AND()</t>
    <phoneticPr fontId="1" type="noConversion"/>
  </si>
  <si>
    <t>ROW()</t>
    <phoneticPr fontId="1" type="noConversion"/>
  </si>
  <si>
    <t>ROUND()</t>
    <phoneticPr fontId="1" type="noConversion"/>
  </si>
  <si>
    <t>格式</t>
    <phoneticPr fontId="1" type="noConversion"/>
  </si>
  <si>
    <t>3G</t>
    <phoneticPr fontId="1" type="noConversion"/>
  </si>
  <si>
    <t>80min</t>
    <phoneticPr fontId="1" type="noConversion"/>
  </si>
  <si>
    <t>150min</t>
    <phoneticPr fontId="1" type="noConversion"/>
  </si>
  <si>
    <t>100M</t>
    <phoneticPr fontId="1" type="noConversion"/>
  </si>
  <si>
    <t>1G</t>
    <phoneticPr fontId="1" type="noConversion"/>
  </si>
  <si>
    <t>2G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</si>
  <si>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</si>
  <si>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</si>
  <si>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</si>
  <si>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200-230</t>
    <phoneticPr fontId="1" type="noConversion"/>
  </si>
  <si>
    <t>3000-4000</t>
    <phoneticPr fontId="1" type="noConversion"/>
  </si>
  <si>
    <t>D</t>
    <phoneticPr fontId="1" type="noConversion"/>
  </si>
  <si>
    <t>lookup()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</si>
  <si>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</si>
  <si>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</si>
  <si>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</si>
  <si>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数量</t>
    <phoneticPr fontId="1" type="noConversion"/>
  </si>
  <si>
    <t>占比</t>
    <phoneticPr fontId="1" type="noConversion"/>
  </si>
  <si>
    <t>A1</t>
    <phoneticPr fontId="1" type="noConversion"/>
  </si>
  <si>
    <t>A2</t>
    <phoneticPr fontId="1" type="noConversion"/>
  </si>
  <si>
    <t>误差</t>
    <phoneticPr fontId="1" type="noConversion"/>
  </si>
  <si>
    <t>旋转angle</t>
    <phoneticPr fontId="1" type="noConversion"/>
  </si>
  <si>
    <t>旋转后坐标</t>
    <phoneticPr fontId="1" type="noConversion"/>
  </si>
  <si>
    <t>起始坐标X</t>
    <phoneticPr fontId="1" type="noConversion"/>
  </si>
  <si>
    <t>起始坐标Y</t>
    <phoneticPr fontId="1" type="noConversion"/>
  </si>
  <si>
    <t>起始角度</t>
    <phoneticPr fontId="1" type="noConversion"/>
  </si>
  <si>
    <t>旋转后角度</t>
    <phoneticPr fontId="1" type="noConversion"/>
  </si>
  <si>
    <t>初始数据</t>
    <phoneticPr fontId="1" type="noConversion"/>
  </si>
  <si>
    <t>中间计算过程</t>
    <phoneticPr fontId="1" type="noConversion"/>
  </si>
  <si>
    <t>X</t>
    <phoneticPr fontId="1" type="noConversion"/>
  </si>
  <si>
    <t>Y</t>
    <phoneticPr fontId="1" type="noConversion"/>
  </si>
  <si>
    <t>点到原点距离</t>
    <phoneticPr fontId="1" type="noConversion"/>
  </si>
  <si>
    <t>现金流</t>
    <phoneticPr fontId="1" type="noConversion"/>
  </si>
  <si>
    <t>IRR（收益）</t>
    <phoneticPr fontId="1" type="noConversion"/>
  </si>
  <si>
    <t>1&gt;</t>
    <phoneticPr fontId="1" type="noConversion"/>
  </si>
  <si>
    <t>2&gt;</t>
    <phoneticPr fontId="1" type="noConversion"/>
  </si>
  <si>
    <t>1&gt;+2&gt;</t>
    <phoneticPr fontId="1" type="noConversion"/>
  </si>
  <si>
    <t>134-TECH-QR-A</t>
  </si>
  <si>
    <t>(Left(g_csUserName, 8) = "</t>
    <phoneticPr fontId="1" type="noConversion"/>
  </si>
  <si>
    <t xml:space="preserve">" And Left(g_csComputerName, </t>
    <phoneticPr fontId="1" type="noConversion"/>
  </si>
  <si>
    <t>) = "</t>
    <phoneticPr fontId="1" type="noConversion"/>
  </si>
  <si>
    <t xml:space="preserve">") Or _ </t>
    <phoneticPr fontId="1" type="noConversion"/>
  </si>
  <si>
    <t>134-DESI-LL-A</t>
  </si>
  <si>
    <t>135-DESI-LLd-A</t>
    <phoneticPr fontId="1" type="noConversion"/>
  </si>
  <si>
    <t>136-DESI-vcLL-A</t>
    <phoneticPr fontId="1" type="noConversion"/>
  </si>
  <si>
    <t>工号</t>
    <phoneticPr fontId="1" type="noConversion"/>
  </si>
  <si>
    <t>计算机名</t>
    <phoneticPr fontId="1" type="noConversion"/>
  </si>
  <si>
    <t>代码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</si>
</sst>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%"/>
    <numFmt numFmtId="177" formatCode="0.00_ "/>
  </numFmts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theme="1"/>
      <name val="宋体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quotePrefix="1"/>
    <xf numFmtId="0" fontId="0" fillId="3" borderId="0" xfId="0" applyFill="1"/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9" fontId="0" fillId="0" borderId="0" xfId="0" applyNumberFormat="1" applyFill="1"/>
    <xf numFmtId="176" fontId="0" fillId="0" borderId="0" xfId="2" applyNumberFormat="1" applyFont="1" applyAlignment="1"/>
    <xf numFmtId="0" fontId="0" fillId="0" borderId="0" xfId="0" applyAlignment="1">
      <alignment vertical="center"/>
    </xf>
    <xf numFmtId="0" fontId="0" fillId="4" borderId="0" xfId="0" applyFill="1"/>
    <xf numFmtId="0" fontId="0" fillId="5" borderId="0" xfId="0" applyFill="1"/>
    <xf numFmtId="10" fontId="0" fillId="0" borderId="0" xfId="0" applyNumberFormat="1"/>
    <xf numFmtId="2" fontId="0" fillId="0" borderId="0" xfId="0" applyNumberFormat="1" applyFill="1"/>
    <xf numFmtId="177" fontId="0" fillId="0" borderId="0" xfId="0" applyNumberFormat="1" applyFill="1"/>
    <xf numFmtId="0" fontId="0" fillId="0" borderId="0" xfId="0" applyAlignment="1">
      <alignment horizontal="center" vertical="center"/>
    </xf>
    <xf numFmtId="58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</cellXfs>
  <cellStyles count="3">
    <cellStyle name="百分比" xfId="2" builtinId="5"/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sz="1000">
                <a:solidFill>
                  <a:srgbClr val="FF0000"/>
                </a:solidFill>
              </a:rPr>
              <a:t>图表标题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图表!$K$3:$K$14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图表!$L$3:$L$14</c:f>
              <c:numCache>
                <c:formatCode>General</c:formatCode>
                <c:ptCount val="12"/>
                <c:pt idx="0">
                  <c:v>1547.3</c:v>
                </c:pt>
                <c:pt idx="1">
                  <c:v>1678.9</c:v>
                </c:pt>
                <c:pt idx="2">
                  <c:v>1932.7</c:v>
                </c:pt>
                <c:pt idx="3">
                  <c:v>2046.5</c:v>
                </c:pt>
                <c:pt idx="4">
                  <c:v>1809.3</c:v>
                </c:pt>
                <c:pt idx="5">
                  <c:v>1903.2</c:v>
                </c:pt>
                <c:pt idx="6">
                  <c:v>1745.8</c:v>
                </c:pt>
                <c:pt idx="7">
                  <c:v>2540.8000000000002</c:v>
                </c:pt>
                <c:pt idx="8">
                  <c:v>2213.4</c:v>
                </c:pt>
                <c:pt idx="9">
                  <c:v>2108.5</c:v>
                </c:pt>
                <c:pt idx="10">
                  <c:v>1945.3</c:v>
                </c:pt>
                <c:pt idx="11">
                  <c:v>2315.6999999999998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1-49E4-9D26-894947BB2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3936112"/>
        <c:axId val="333936504"/>
        <c:axId val="0"/>
      </c:bar3DChart>
      <c:catAx>
        <c:axId val="33393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504"/>
        <c:crosses val="autoZero"/>
        <c:auto val="1"/>
        <c:lblAlgn val="ctr"/>
        <c:lblOffset val="100"/>
        <c:noMultiLvlLbl val="0"/>
      </c:catAx>
      <c:valAx>
        <c:axId val="33393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图表!$K$20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bg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1DE43B7-522B-4CB4-B1A2-A004D3C84ADA}" type="VALUE">
                      <a:rPr lang="en-US" altLang="zh-CN" sz="2400">
                        <a:solidFill>
                          <a:srgbClr val="FF0000"/>
                        </a:solidFill>
                      </a:rPr>
                      <a:pPr>
                        <a:defRPr sz="900" b="0" i="0" u="none" strike="noStrike" kern="1200" baseline="0">
                          <a:solidFill>
                            <a:schemeClr val="dk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[值]</a:t>
                    </a:fld>
                    <a:endParaRPr lang="zh-CN" altLang="en-US"/>
                  </a:p>
                </c:rich>
              </c:tx>
              <c:numFmt formatCode="0%" sourceLinked="0"/>
              <c:spPr>
                <a:noFill/>
                <a:ln>
                  <a:noFill/>
                </a:ln>
                <a:effectLst>
                  <a:glow rad="101600">
                    <a:schemeClr val="accent6">
                      <a:lumMod val="75000"/>
                      <a:alpha val="40000"/>
                    </a:schemeClr>
                  </a:glow>
                  <a:softEdge rad="127000"/>
                </a:effectLst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/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0C17-4271-95F3-2703B24D9ED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>
                <a:glow rad="101600">
                  <a:schemeClr val="accent6">
                    <a:lumMod val="75000"/>
                    <a:alpha val="40000"/>
                  </a:schemeClr>
                </a:glow>
                <a:softEdge rad="1270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图表!$L$20</c:f>
              <c:numCache>
                <c:formatCode>General</c:formatCode>
                <c:ptCount val="1"/>
                <c:pt idx="0">
                  <c:v>0.79291333333333336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17-4271-95F3-2703B24D9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33937288"/>
        <c:axId val="333937680"/>
      </c:barChart>
      <c:catAx>
        <c:axId val="33393728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680"/>
        <c:crosses val="autoZero"/>
        <c:auto val="1"/>
        <c:lblAlgn val="ctr"/>
        <c:lblOffset val="100"/>
        <c:noMultiLvlLbl val="0"/>
      </c:catAx>
      <c:valAx>
        <c:axId val="333937680"/>
        <c:scaling>
          <c:orientation val="minMax"/>
          <c:max val="1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288"/>
        <c:crosses val="autoZero"/>
        <c:crossBetween val="between"/>
      </c:valAx>
      <c:spPr>
        <a:solidFill>
          <a:schemeClr val="accent5">
            <a:lumMod val="60000"/>
            <a:lumOff val="4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图表!$A$35:$A$39</c:f>
              <c:numCache>
                <c:formatCode>General</c:formatCode>
                <c:ptCount val="5"/>
                <c:pt idx="0">
                  <c:v>1270</c:v>
                </c:pt>
                <c:pt idx="1">
                  <c:v>1305</c:v>
                </c:pt>
                <c:pt idx="2">
                  <c:v>1370</c:v>
                </c:pt>
                <c:pt idx="3">
                  <c:v>1470</c:v>
                </c:pt>
                <c:pt idx="4">
                  <c:v>1550</c:v>
                </c:pt>
              </c:numCache>
            </c:numRef>
          </c:xVal>
          <c:yVal>
            <c:numRef>
              <c:f>图表!$B$35:$B$39</c:f>
              <c:numCache>
                <c:formatCode>General</c:formatCode>
                <c:ptCount val="5"/>
                <c:pt idx="0">
                  <c:v>1311</c:v>
                </c:pt>
                <c:pt idx="1">
                  <c:v>1337</c:v>
                </c:pt>
                <c:pt idx="2">
                  <c:v>1381</c:v>
                </c:pt>
                <c:pt idx="3">
                  <c:v>1466</c:v>
                </c:pt>
                <c:pt idx="4">
                  <c:v>1546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66-4100-8B33-526247367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8464"/>
        <c:axId val="333938856"/>
      </c:scatterChart>
      <c:valAx>
        <c:axId val="333938464"/>
        <c:scaling>
          <c:orientation val="minMax"/>
          <c:min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856"/>
        <c:crosses val="autoZero"/>
        <c:crossBetween val="midCat"/>
      </c:valAx>
      <c:valAx>
        <c:axId val="333938856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temp!$F$12:$K$12</c:f>
              <c:numCache>
                <c:formatCode>General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100</c:v>
                </c:pt>
              </c:numCache>
            </c:numRef>
          </c:xVal>
          <c:yVal>
            <c:numRef>
              <c:f>temp!$F$13:$K$13</c:f>
              <c:numCache>
                <c:formatCode>General</c:formatCode>
                <c:ptCount val="6"/>
                <c:pt idx="0">
                  <c:v>200</c:v>
                </c:pt>
                <c:pt idx="1">
                  <c:v>400</c:v>
                </c:pt>
                <c:pt idx="2">
                  <c:v>1100</c:v>
                </c:pt>
                <c:pt idx="3">
                  <c:v>2100</c:v>
                </c:pt>
                <c:pt idx="4">
                  <c:v>3100</c:v>
                </c:pt>
                <c:pt idx="5">
                  <c:v>5100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D3-46EB-9090-E3A6D31F1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9640"/>
        <c:axId val="339078728"/>
      </c:scatterChart>
      <c:valAx>
        <c:axId val="333939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9078728"/>
        <c:crosses val="autoZero"/>
        <c:crossBetween val="midCat"/>
      </c:valAx>
      <c:valAx>
        <c:axId val="33907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4</xdr:row>
      <xdr:rowOff>147637</xdr:rowOff>
    </xdr:from>
    <xdr:to>
      <xdr:col>9</xdr:col>
      <xdr:colOff>552450</xdr:colOff>
      <xdr:row>20</xdr:row>
      <xdr:rowOff>147637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428626</xdr:colOff>
      <xdr:row>0</xdr:row>
      <xdr:rowOff>38100</xdr:rowOff>
    </xdr:from>
    <xdr:to>
      <xdr:col>15</xdr:col>
      <xdr:colOff>276225</xdr:colOff>
      <xdr:row>21</xdr:row>
      <xdr:rowOff>76200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742950</xdr:colOff>
      <xdr:row>29</xdr:row>
      <xdr:rowOff>133350</xdr:rowOff>
    </xdr:from>
    <xdr:to>
      <xdr:col>10</xdr:col>
      <xdr:colOff>5175</xdr:colOff>
      <xdr:row>54</xdr:row>
      <xdr:rowOff>167100</xdr:rowOff>
    </xdr:to>
    <xdr:graphicFrame macro="">
      <xdr:nvGraphicFramePr>
        <xdr:cNvPr id="4" name="图表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61912</xdr:colOff>
      <xdr:row>15</xdr:row>
      <xdr:rowOff>0</xdr:rowOff>
    </xdr:from>
    <xdr:to>
      <xdr:col>24</xdr:col>
      <xdr:colOff>642937</xdr:colOff>
      <xdr:row>31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39"/>
  <sheetViews>
    <sheetView topLeftCell="A13" workbookViewId="0">
      <selection activeCell="L28" sqref="L28"/>
    </sheetView>
  </sheetViews>
  <sheetFormatPr defaultRowHeight="13.5" x14ac:dyDescent="0.15"/>
  <cols>
    <col min="3" max="3" width="12.25" customWidth="1"/>
    <col min="4" max="4" width="12.375" customWidth="1"/>
  </cols>
  <sheetData>
    <row r="2" spans="1:12" x14ac:dyDescent="0.15">
      <c r="B2" s="1" t="s">
        <v>7</v>
      </c>
      <c r="C2" t="s">
        <v>5</v>
      </c>
      <c r="D2" t="s">
        <v>6</v>
      </c>
    </row>
    <row r="3" spans="1:12" x14ac:dyDescent="0.15">
      <c r="A3" s="24" t="s">
        <v>0</v>
      </c>
      <c r="B3" s="25" t="s">
        <v>14</v>
      </c>
      <c r="C3" t="s">
        <v>3</v>
      </c>
      <c r="D3" t="s">
        <v>4</v>
      </c>
      <c r="F3">
        <v>1.5</v>
      </c>
      <c r="G3">
        <f>F3*60</f>
        <v>90</v>
      </c>
      <c r="H3">
        <f>G3*60</f>
        <v>5400</v>
      </c>
      <c r="K3" t="s">
        <v>39</v>
      </c>
      <c r="L3">
        <v>1547.3</v>
      </c>
    </row>
    <row r="4" spans="1:12" x14ac:dyDescent="0.15">
      <c r="A4" s="24"/>
      <c r="B4" s="24"/>
      <c r="F4">
        <v>5</v>
      </c>
      <c r="G4">
        <f>F4*60</f>
        <v>300</v>
      </c>
      <c r="H4">
        <f>G4*60</f>
        <v>18000</v>
      </c>
      <c r="K4" t="s">
        <v>40</v>
      </c>
      <c r="L4">
        <v>1678.9</v>
      </c>
    </row>
    <row r="5" spans="1:12" x14ac:dyDescent="0.15">
      <c r="A5" s="24" t="s">
        <v>1</v>
      </c>
      <c r="B5" s="24"/>
      <c r="C5" t="s">
        <v>8</v>
      </c>
      <c r="D5" t="s">
        <v>8</v>
      </c>
      <c r="K5" t="s">
        <v>41</v>
      </c>
      <c r="L5">
        <v>1932.7</v>
      </c>
    </row>
    <row r="6" spans="1:12" x14ac:dyDescent="0.15">
      <c r="A6" s="24"/>
      <c r="B6" s="24"/>
      <c r="K6" t="s">
        <v>42</v>
      </c>
      <c r="L6">
        <v>2046.5</v>
      </c>
    </row>
    <row r="7" spans="1:12" x14ac:dyDescent="0.15">
      <c r="A7" s="24" t="s">
        <v>2</v>
      </c>
      <c r="B7" s="24"/>
      <c r="C7" t="s">
        <v>9</v>
      </c>
      <c r="D7" t="s">
        <v>9</v>
      </c>
      <c r="K7" t="s">
        <v>43</v>
      </c>
      <c r="L7">
        <v>1809.3</v>
      </c>
    </row>
    <row r="8" spans="1:12" x14ac:dyDescent="0.15">
      <c r="A8" s="24"/>
      <c r="B8" s="24"/>
      <c r="K8" t="s">
        <v>44</v>
      </c>
      <c r="L8">
        <v>1903.2</v>
      </c>
    </row>
    <row r="9" spans="1:12" x14ac:dyDescent="0.15">
      <c r="A9" s="24" t="s">
        <v>0</v>
      </c>
      <c r="B9" s="26" t="s">
        <v>15</v>
      </c>
      <c r="C9" t="s">
        <v>3</v>
      </c>
      <c r="D9" t="s">
        <v>11</v>
      </c>
      <c r="K9" t="s">
        <v>45</v>
      </c>
      <c r="L9">
        <v>1745.8</v>
      </c>
    </row>
    <row r="10" spans="1:12" x14ac:dyDescent="0.15">
      <c r="A10" s="24"/>
      <c r="B10" s="24"/>
      <c r="C10" t="s">
        <v>10</v>
      </c>
      <c r="K10" t="s">
        <v>46</v>
      </c>
      <c r="L10">
        <v>2540.8000000000002</v>
      </c>
    </row>
    <row r="11" spans="1:12" x14ac:dyDescent="0.15">
      <c r="A11" s="24" t="s">
        <v>1</v>
      </c>
      <c r="B11" s="24"/>
      <c r="C11" t="s">
        <v>8</v>
      </c>
      <c r="D11" t="s">
        <v>8</v>
      </c>
      <c r="K11" t="s">
        <v>47</v>
      </c>
      <c r="L11">
        <v>2213.4</v>
      </c>
    </row>
    <row r="12" spans="1:12" x14ac:dyDescent="0.15">
      <c r="A12" s="24"/>
      <c r="B12" s="24"/>
      <c r="K12" t="s">
        <v>48</v>
      </c>
      <c r="L12">
        <v>2108.5</v>
      </c>
    </row>
    <row r="13" spans="1:12" x14ac:dyDescent="0.15">
      <c r="A13" s="24" t="s">
        <v>2</v>
      </c>
      <c r="B13" s="24"/>
      <c r="C13" t="s">
        <v>12</v>
      </c>
      <c r="D13" t="s">
        <v>13</v>
      </c>
      <c r="K13" t="s">
        <v>49</v>
      </c>
      <c r="L13">
        <v>1945.3</v>
      </c>
    </row>
    <row r="14" spans="1:12" x14ac:dyDescent="0.15">
      <c r="A14" s="24"/>
      <c r="B14" s="24"/>
      <c r="K14" t="s">
        <v>50</v>
      </c>
      <c r="L14">
        <v>2315.6999999999998</v>
      </c>
    </row>
    <row r="15" spans="1:12" x14ac:dyDescent="0.15">
      <c r="A15" s="24" t="s">
        <v>0</v>
      </c>
      <c r="B15" s="25" t="s">
        <v>16</v>
      </c>
      <c r="C15" t="s">
        <v>19</v>
      </c>
      <c r="D15" t="s">
        <v>20</v>
      </c>
    </row>
    <row r="16" spans="1:12" x14ac:dyDescent="0.15">
      <c r="A16" s="24"/>
      <c r="B16" s="24"/>
      <c r="C16" t="s">
        <v>10</v>
      </c>
    </row>
    <row r="17" spans="1:12" x14ac:dyDescent="0.15">
      <c r="A17" s="24" t="s">
        <v>1</v>
      </c>
      <c r="B17" s="24"/>
      <c r="C17" t="s">
        <v>18</v>
      </c>
      <c r="D17" t="s">
        <v>18</v>
      </c>
      <c r="K17" t="s">
        <v>51</v>
      </c>
      <c r="L17">
        <f>SUM(L3:L14)</f>
        <v>23787.4</v>
      </c>
    </row>
    <row r="18" spans="1:12" x14ac:dyDescent="0.15">
      <c r="A18" s="24"/>
      <c r="B18" s="24"/>
      <c r="K18" t="s">
        <v>52</v>
      </c>
      <c r="L18">
        <v>30000</v>
      </c>
    </row>
    <row r="19" spans="1:12" x14ac:dyDescent="0.15">
      <c r="A19" s="24" t="s">
        <v>2</v>
      </c>
      <c r="B19" s="24"/>
      <c r="C19" t="s">
        <v>9</v>
      </c>
      <c r="D19" t="s">
        <v>9</v>
      </c>
    </row>
    <row r="20" spans="1:12" x14ac:dyDescent="0.15">
      <c r="A20" s="24"/>
      <c r="B20" s="24"/>
      <c r="K20" t="s">
        <v>53</v>
      </c>
      <c r="L20">
        <f>L17/L18</f>
        <v>0.79291333333333336</v>
      </c>
    </row>
    <row r="21" spans="1:12" x14ac:dyDescent="0.15">
      <c r="A21" s="24" t="s">
        <v>0</v>
      </c>
      <c r="B21" s="26" t="s">
        <v>17</v>
      </c>
      <c r="C21" t="s">
        <v>19</v>
      </c>
      <c r="D21" t="s">
        <v>22</v>
      </c>
    </row>
    <row r="22" spans="1:12" x14ac:dyDescent="0.15">
      <c r="A22" s="24"/>
      <c r="B22" s="24"/>
      <c r="C22" t="s">
        <v>21</v>
      </c>
    </row>
    <row r="23" spans="1:12" x14ac:dyDescent="0.15">
      <c r="A23" s="24" t="s">
        <v>1</v>
      </c>
      <c r="B23" s="24"/>
      <c r="C23" t="s">
        <v>18</v>
      </c>
      <c r="D23" t="s">
        <v>18</v>
      </c>
    </row>
    <row r="24" spans="1:12" x14ac:dyDescent="0.15">
      <c r="A24" s="24"/>
      <c r="B24" s="24"/>
    </row>
    <row r="25" spans="1:12" x14ac:dyDescent="0.15">
      <c r="A25" s="24" t="s">
        <v>2</v>
      </c>
      <c r="B25" s="24"/>
      <c r="C25" t="s">
        <v>12</v>
      </c>
      <c r="D25" t="s">
        <v>13</v>
      </c>
    </row>
    <row r="26" spans="1:12" x14ac:dyDescent="0.15">
      <c r="A26" s="24"/>
      <c r="B26" s="24"/>
    </row>
    <row r="35" spans="1:2" x14ac:dyDescent="0.15">
      <c r="A35">
        <v>1270</v>
      </c>
      <c r="B35">
        <v>1311</v>
      </c>
    </row>
    <row r="36" spans="1:2" x14ac:dyDescent="0.15">
      <c r="A36">
        <v>1305</v>
      </c>
      <c r="B36">
        <v>1337</v>
      </c>
    </row>
    <row r="37" spans="1:2" x14ac:dyDescent="0.15">
      <c r="A37">
        <v>1370</v>
      </c>
      <c r="B37">
        <v>1381</v>
      </c>
    </row>
    <row r="38" spans="1:2" x14ac:dyDescent="0.15">
      <c r="A38">
        <v>1470</v>
      </c>
      <c r="B38">
        <v>1466</v>
      </c>
    </row>
    <row r="39" spans="1:2" x14ac:dyDescent="0.15">
      <c r="A39">
        <v>1550</v>
      </c>
      <c r="B39">
        <v>1546</v>
      </c>
    </row>
  </sheetData>
  <mergeCells count="16">
    <mergeCell ref="A15:A16"/>
    <mergeCell ref="B15:B20"/>
    <mergeCell ref="A17:A18"/>
    <mergeCell ref="A19:A20"/>
    <mergeCell ref="A21:A22"/>
    <mergeCell ref="B21:B26"/>
    <mergeCell ref="A23:A24"/>
    <mergeCell ref="A25:A26"/>
    <mergeCell ref="A3:A4"/>
    <mergeCell ref="A5:A6"/>
    <mergeCell ref="A7:A8"/>
    <mergeCell ref="B3:B8"/>
    <mergeCell ref="B9:B14"/>
    <mergeCell ref="A9:A10"/>
    <mergeCell ref="A11:A12"/>
    <mergeCell ref="A13:A1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7"/>
  <sheetViews>
    <sheetView topLeftCell="A13" workbookViewId="0">
      <selection activeCell="H18" sqref="H18"/>
    </sheetView>
  </sheetViews>
  <sheetFormatPr defaultRowHeight="13.5" x14ac:dyDescent="0.15"/>
  <cols>
    <col min="6" max="6" width="28.875" customWidth="1"/>
  </cols>
  <sheetData>
    <row r="1" spans="1:15" x14ac:dyDescent="0.15">
      <c r="A1" t="s">
        <v>23</v>
      </c>
      <c r="F1" t="s">
        <v>26</v>
      </c>
      <c r="G1" t="s">
        <v>28</v>
      </c>
    </row>
    <row r="2" spans="1:15" x14ac:dyDescent="0.15">
      <c r="E2" t="s">
        <v>27</v>
      </c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</row>
    <row r="3" spans="1:15" x14ac:dyDescent="0.15">
      <c r="A3" s="27" t="s">
        <v>29</v>
      </c>
      <c r="B3" s="27"/>
      <c r="C3" s="27"/>
      <c r="E3" t="s">
        <v>24</v>
      </c>
      <c r="F3">
        <v>11</v>
      </c>
      <c r="G3">
        <v>12</v>
      </c>
      <c r="H3">
        <v>13</v>
      </c>
      <c r="I3">
        <v>14</v>
      </c>
      <c r="J3">
        <v>15</v>
      </c>
      <c r="K3">
        <v>16</v>
      </c>
      <c r="L3">
        <v>17</v>
      </c>
      <c r="M3">
        <v>18</v>
      </c>
      <c r="N3">
        <v>19</v>
      </c>
      <c r="O3">
        <v>20</v>
      </c>
    </row>
    <row r="4" spans="1:15" x14ac:dyDescent="0.15">
      <c r="A4" s="27"/>
      <c r="B4" s="27"/>
      <c r="C4" s="27"/>
      <c r="E4" t="s">
        <v>25</v>
      </c>
      <c r="F4">
        <v>21</v>
      </c>
      <c r="G4">
        <v>22</v>
      </c>
      <c r="H4">
        <v>23</v>
      </c>
      <c r="I4">
        <v>24</v>
      </c>
      <c r="J4">
        <v>25</v>
      </c>
      <c r="K4">
        <v>26</v>
      </c>
      <c r="L4">
        <v>27</v>
      </c>
      <c r="M4">
        <v>28</v>
      </c>
      <c r="N4">
        <v>29</v>
      </c>
      <c r="O4">
        <v>30</v>
      </c>
    </row>
    <row r="5" spans="1:15" x14ac:dyDescent="0.15">
      <c r="A5" s="27"/>
      <c r="B5" s="27"/>
      <c r="C5" s="27"/>
      <c r="F5">
        <v>31</v>
      </c>
      <c r="G5">
        <v>32</v>
      </c>
      <c r="H5">
        <v>33</v>
      </c>
      <c r="I5">
        <v>34</v>
      </c>
      <c r="J5">
        <v>35</v>
      </c>
      <c r="K5">
        <v>36</v>
      </c>
      <c r="L5">
        <v>37</v>
      </c>
      <c r="M5">
        <v>38</v>
      </c>
      <c r="N5">
        <v>39</v>
      </c>
      <c r="O5">
        <v>40</v>
      </c>
    </row>
    <row r="6" spans="1:15" x14ac:dyDescent="0.15">
      <c r="A6" s="27"/>
      <c r="B6" s="27"/>
      <c r="C6" s="27"/>
      <c r="F6">
        <v>41</v>
      </c>
      <c r="G6">
        <v>42</v>
      </c>
      <c r="H6">
        <v>43</v>
      </c>
      <c r="I6">
        <v>44</v>
      </c>
      <c r="J6">
        <v>45</v>
      </c>
      <c r="K6">
        <v>46</v>
      </c>
      <c r="L6">
        <v>47</v>
      </c>
      <c r="M6">
        <v>48</v>
      </c>
      <c r="N6">
        <v>49</v>
      </c>
      <c r="O6">
        <v>50</v>
      </c>
    </row>
    <row r="7" spans="1:15" x14ac:dyDescent="0.15">
      <c r="A7" s="27"/>
      <c r="B7" s="27"/>
      <c r="C7" s="27"/>
      <c r="F7">
        <v>51</v>
      </c>
      <c r="G7">
        <v>52</v>
      </c>
      <c r="H7">
        <v>53</v>
      </c>
      <c r="I7">
        <v>54</v>
      </c>
      <c r="J7">
        <v>55</v>
      </c>
      <c r="K7">
        <v>56</v>
      </c>
      <c r="L7">
        <v>57</v>
      </c>
      <c r="M7">
        <v>58</v>
      </c>
      <c r="N7">
        <v>59</v>
      </c>
      <c r="O7">
        <v>60</v>
      </c>
    </row>
    <row r="8" spans="1:15" x14ac:dyDescent="0.15">
      <c r="A8" s="27"/>
      <c r="B8" s="27"/>
      <c r="C8" s="27"/>
      <c r="F8">
        <v>61</v>
      </c>
      <c r="G8">
        <v>62</v>
      </c>
      <c r="H8">
        <v>63</v>
      </c>
      <c r="I8">
        <v>64</v>
      </c>
      <c r="J8">
        <v>65</v>
      </c>
      <c r="K8">
        <v>66</v>
      </c>
      <c r="L8">
        <v>67</v>
      </c>
      <c r="M8">
        <v>68</v>
      </c>
      <c r="N8">
        <v>69</v>
      </c>
      <c r="O8">
        <v>70</v>
      </c>
    </row>
    <row r="9" spans="1:15" x14ac:dyDescent="0.15">
      <c r="A9" s="27"/>
      <c r="B9" s="27"/>
      <c r="C9" s="27"/>
      <c r="F9">
        <v>71</v>
      </c>
      <c r="G9">
        <v>72</v>
      </c>
      <c r="H9">
        <v>73</v>
      </c>
      <c r="I9">
        <v>74</v>
      </c>
      <c r="J9">
        <v>75</v>
      </c>
      <c r="K9">
        <v>76</v>
      </c>
      <c r="L9">
        <v>77</v>
      </c>
      <c r="M9">
        <v>78</v>
      </c>
      <c r="N9">
        <v>79</v>
      </c>
      <c r="O9">
        <v>80</v>
      </c>
    </row>
    <row r="10" spans="1:15" x14ac:dyDescent="0.15">
      <c r="A10" s="27"/>
      <c r="B10" s="27"/>
      <c r="C10" s="27"/>
      <c r="D10" t="s">
        <v>24</v>
      </c>
      <c r="F10">
        <v>81</v>
      </c>
      <c r="G10">
        <v>82</v>
      </c>
      <c r="H10">
        <v>83</v>
      </c>
      <c r="I10">
        <v>84</v>
      </c>
      <c r="J10">
        <v>85</v>
      </c>
      <c r="K10">
        <v>86</v>
      </c>
      <c r="L10">
        <v>87</v>
      </c>
      <c r="M10">
        <v>88</v>
      </c>
      <c r="N10">
        <v>89</v>
      </c>
      <c r="O10">
        <v>90</v>
      </c>
    </row>
    <row r="11" spans="1:15" x14ac:dyDescent="0.15">
      <c r="A11" s="27"/>
      <c r="B11" s="27"/>
      <c r="C11" s="27"/>
      <c r="D11" t="s">
        <v>28</v>
      </c>
      <c r="F11">
        <v>91</v>
      </c>
      <c r="G11">
        <v>92</v>
      </c>
      <c r="H11">
        <v>93</v>
      </c>
      <c r="I11">
        <v>94</v>
      </c>
      <c r="J11">
        <v>95</v>
      </c>
      <c r="K11">
        <v>96</v>
      </c>
      <c r="L11">
        <v>97</v>
      </c>
      <c r="M11">
        <v>98</v>
      </c>
      <c r="N11">
        <v>99</v>
      </c>
      <c r="O11">
        <v>100</v>
      </c>
    </row>
    <row r="12" spans="1:15" x14ac:dyDescent="0.15">
      <c r="A12" s="27"/>
      <c r="B12" s="27"/>
      <c r="C12" s="27"/>
    </row>
    <row r="13" spans="1:15" x14ac:dyDescent="0.15">
      <c r="A13" s="27"/>
      <c r="B13" s="27"/>
      <c r="C13" s="27"/>
      <c r="D13">
        <f>SUMPRODUCT((E1:E9=D10)*(G1:G9=D11))</f>
        <v>0</v>
      </c>
    </row>
    <row r="14" spans="1:15" x14ac:dyDescent="0.15">
      <c r="A14" s="27"/>
      <c r="B14" s="27"/>
      <c r="C14" s="27"/>
    </row>
    <row r="15" spans="1:15" x14ac:dyDescent="0.15">
      <c r="A15" s="27"/>
      <c r="B15" s="27"/>
      <c r="C15" s="27"/>
      <c r="F15">
        <f>SUMPRODUCT((E2:E4=D10)*(F1:G1=D11),L8:M10)</f>
        <v>78</v>
      </c>
    </row>
    <row r="16" spans="1:15" x14ac:dyDescent="0.15">
      <c r="A16" s="27"/>
      <c r="B16" s="27"/>
      <c r="C16" s="27"/>
    </row>
    <row r="18" spans="1:5" x14ac:dyDescent="0.15">
      <c r="A18" s="27" t="s">
        <v>30</v>
      </c>
      <c r="B18" s="27"/>
      <c r="C18" s="27"/>
      <c r="D18">
        <f>SUMIF(E2:E4,D10,F2:F4)</f>
        <v>11</v>
      </c>
    </row>
    <row r="19" spans="1:5" x14ac:dyDescent="0.15">
      <c r="A19" s="27"/>
      <c r="B19" s="27"/>
      <c r="C19" s="27"/>
      <c r="E19">
        <f>{1,0,1,0}*{1,0,1}</f>
        <v>1</v>
      </c>
    </row>
    <row r="23" spans="1:5" x14ac:dyDescent="0.15">
      <c r="A23" t="s">
        <v>54</v>
      </c>
    </row>
    <row r="24" spans="1:5" x14ac:dyDescent="0.15">
      <c r="A24">
        <v>102</v>
      </c>
      <c r="B24" t="str">
        <f>IF(A24&gt;=100,"大于100","小于100")</f>
        <v>大于100</v>
      </c>
    </row>
    <row r="26" spans="1:5" x14ac:dyDescent="0.15">
      <c r="A26" t="s">
        <v>55</v>
      </c>
    </row>
    <row r="27" spans="1:5" x14ac:dyDescent="0.15">
      <c r="B27">
        <f>ROW(A27)</f>
        <v>27</v>
      </c>
    </row>
    <row r="29" spans="1:5" x14ac:dyDescent="0.15">
      <c r="A29" t="s">
        <v>56</v>
      </c>
    </row>
    <row r="30" spans="1:5" x14ac:dyDescent="0.15">
      <c r="A30">
        <v>3.1415899999999999</v>
      </c>
      <c r="B30">
        <f>ROUND(A30,4)</f>
        <v>3.1415999999999999</v>
      </c>
    </row>
    <row r="34" spans="1:5" x14ac:dyDescent="0.15">
      <c r="A34" s="2" t="s">
        <v>70</v>
      </c>
    </row>
    <row r="35" spans="1:5" x14ac:dyDescent="0.15">
      <c r="A35">
        <v>1</v>
      </c>
      <c r="B35">
        <v>2</v>
      </c>
      <c r="C35">
        <v>3</v>
      </c>
      <c r="D35">
        <v>4</v>
      </c>
      <c r="E35">
        <v>5</v>
      </c>
    </row>
    <row r="36" spans="1:5" x14ac:dyDescent="0.15">
      <c r="A36">
        <v>11</v>
      </c>
      <c r="B36">
        <v>12</v>
      </c>
      <c r="C36">
        <v>13</v>
      </c>
      <c r="D36">
        <v>14</v>
      </c>
      <c r="E36">
        <v>15</v>
      </c>
    </row>
    <row r="37" spans="1:5" x14ac:dyDescent="0.15">
      <c r="A37">
        <v>4</v>
      </c>
      <c r="B37">
        <f>LOOKUP(A37,A35:E35,A36:E36)</f>
        <v>14</v>
      </c>
    </row>
  </sheetData>
  <mergeCells count="2">
    <mergeCell ref="A3:C16"/>
    <mergeCell ref="A18:C1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6"/>
  <sheetViews>
    <sheetView workbookViewId="0">
      <selection activeCell="A30" sqref="A30"/>
    </sheetView>
  </sheetViews>
  <sheetFormatPr defaultRowHeight="13.5" x14ac:dyDescent="0.15"/>
  <cols>
    <col min="1" max="1" width="13.625" customWidth="1"/>
  </cols>
  <sheetData>
    <row r="3" spans="1:2" x14ac:dyDescent="0.15">
      <c r="A3" t="s">
        <v>38</v>
      </c>
      <c r="B3" t="s">
        <v>90</v>
      </c>
    </row>
    <row r="4" spans="1:2" x14ac:dyDescent="0.15">
      <c r="A4">
        <v>1</v>
      </c>
      <c r="B4">
        <v>-50000</v>
      </c>
    </row>
    <row r="5" spans="1:2" x14ac:dyDescent="0.15">
      <c r="A5">
        <v>2</v>
      </c>
      <c r="B5">
        <v>0</v>
      </c>
    </row>
    <row r="6" spans="1:2" x14ac:dyDescent="0.15">
      <c r="A6">
        <v>3</v>
      </c>
      <c r="B6">
        <v>0</v>
      </c>
    </row>
    <row r="7" spans="1:2" x14ac:dyDescent="0.15">
      <c r="A7">
        <v>4</v>
      </c>
      <c r="B7">
        <v>0</v>
      </c>
    </row>
    <row r="8" spans="1:2" x14ac:dyDescent="0.15">
      <c r="A8">
        <v>5</v>
      </c>
      <c r="B8">
        <v>0</v>
      </c>
    </row>
    <row r="9" spans="1:2" x14ac:dyDescent="0.15">
      <c r="A9">
        <v>6</v>
      </c>
      <c r="B9">
        <v>0</v>
      </c>
    </row>
    <row r="10" spans="1:2" x14ac:dyDescent="0.15">
      <c r="A10">
        <v>7</v>
      </c>
      <c r="B10">
        <v>0</v>
      </c>
    </row>
    <row r="11" spans="1:2" x14ac:dyDescent="0.15">
      <c r="A11">
        <v>8</v>
      </c>
      <c r="B11">
        <v>0</v>
      </c>
    </row>
    <row r="12" spans="1:2" x14ac:dyDescent="0.15">
      <c r="A12">
        <v>9</v>
      </c>
      <c r="B12">
        <v>0</v>
      </c>
    </row>
    <row r="13" spans="1:2" x14ac:dyDescent="0.15">
      <c r="A13">
        <v>10</v>
      </c>
      <c r="B13">
        <v>0</v>
      </c>
    </row>
    <row r="14" spans="1:2" x14ac:dyDescent="0.15">
      <c r="A14">
        <v>11</v>
      </c>
      <c r="B14">
        <v>0</v>
      </c>
    </row>
    <row r="15" spans="1:2" x14ac:dyDescent="0.15">
      <c r="A15">
        <v>12</v>
      </c>
      <c r="B15">
        <v>0</v>
      </c>
    </row>
    <row r="16" spans="1:2" x14ac:dyDescent="0.15">
      <c r="A16">
        <v>13</v>
      </c>
      <c r="B16">
        <v>0</v>
      </c>
    </row>
    <row r="17" spans="1:2" x14ac:dyDescent="0.15">
      <c r="A17">
        <v>14</v>
      </c>
      <c r="B17">
        <v>0</v>
      </c>
    </row>
    <row r="18" spans="1:2" x14ac:dyDescent="0.15">
      <c r="A18">
        <v>15</v>
      </c>
      <c r="B18">
        <v>0</v>
      </c>
    </row>
    <row r="19" spans="1:2" x14ac:dyDescent="0.15">
      <c r="A19">
        <v>16</v>
      </c>
      <c r="B19">
        <v>0</v>
      </c>
    </row>
    <row r="20" spans="1:2" x14ac:dyDescent="0.15">
      <c r="A20">
        <v>17</v>
      </c>
      <c r="B20">
        <v>0</v>
      </c>
    </row>
    <row r="21" spans="1:2" x14ac:dyDescent="0.15">
      <c r="A21">
        <v>18</v>
      </c>
      <c r="B21">
        <v>8094</v>
      </c>
    </row>
    <row r="22" spans="1:2" x14ac:dyDescent="0.15">
      <c r="A22">
        <v>19</v>
      </c>
      <c r="B22">
        <v>8094</v>
      </c>
    </row>
    <row r="23" spans="1:2" x14ac:dyDescent="0.15">
      <c r="A23">
        <v>20</v>
      </c>
      <c r="B23">
        <v>8094</v>
      </c>
    </row>
    <row r="24" spans="1:2" x14ac:dyDescent="0.15">
      <c r="A24">
        <v>21</v>
      </c>
      <c r="B24">
        <v>8094</v>
      </c>
    </row>
    <row r="25" spans="1:2" x14ac:dyDescent="0.15">
      <c r="A25">
        <v>22</v>
      </c>
      <c r="B25">
        <v>68544</v>
      </c>
    </row>
    <row r="26" spans="1:2" x14ac:dyDescent="0.15">
      <c r="A26" t="s">
        <v>91</v>
      </c>
      <c r="B26" s="21">
        <f>IRR(B4:B25)</f>
        <v>3.543862055325242E-2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15"/>
  <sheetViews>
    <sheetView workbookViewId="0">
      <selection activeCell="F38" sqref="F38"/>
    </sheetView>
  </sheetViews>
  <sheetFormatPr defaultRowHeight="13.5" x14ac:dyDescent="0.15"/>
  <sheetData>
    <row r="2" spans="1:5" x14ac:dyDescent="0.15">
      <c r="A2" t="s">
        <v>57</v>
      </c>
    </row>
    <row r="3" spans="1:5" x14ac:dyDescent="0.15">
      <c r="B3" t="s">
        <v>33</v>
      </c>
    </row>
    <row r="4" spans="1:5" x14ac:dyDescent="0.15">
      <c r="B4" t="s">
        <v>31</v>
      </c>
      <c r="E4" t="str">
        <f>ASC(B4)</f>
        <v>abcdef</v>
      </c>
    </row>
    <row r="5" spans="1:5" x14ac:dyDescent="0.15">
      <c r="B5" t="s">
        <v>34</v>
      </c>
    </row>
    <row r="6" spans="1:5" x14ac:dyDescent="0.15">
      <c r="B6" t="s">
        <v>32</v>
      </c>
      <c r="E6" t="str">
        <f>DBCS(B6)</f>
        <v>ａｂｃｄｅｆ</v>
      </c>
    </row>
    <row r="12" spans="1:5" x14ac:dyDescent="0.15">
      <c r="A12" t="s">
        <v>35</v>
      </c>
    </row>
    <row r="13" spans="1:5" x14ac:dyDescent="0.15">
      <c r="B13" s="3" t="s">
        <v>36</v>
      </c>
    </row>
    <row r="15" spans="1:5" x14ac:dyDescent="0.15">
      <c r="B15" t="s">
        <v>37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N15"/>
  <sheetViews>
    <sheetView workbookViewId="0">
      <selection activeCell="I23" sqref="I23"/>
    </sheetView>
  </sheetViews>
  <sheetFormatPr defaultRowHeight="13.5" x14ac:dyDescent="0.15"/>
  <cols>
    <col min="5" max="5" width="12.75" bestFit="1" customWidth="1"/>
    <col min="10" max="10" width="13.75" customWidth="1"/>
    <col min="11" max="11" width="13" bestFit="1" customWidth="1"/>
  </cols>
  <sheetData>
    <row r="3" spans="3:14" x14ac:dyDescent="0.15">
      <c r="C3" s="28" t="s">
        <v>85</v>
      </c>
      <c r="D3" s="28"/>
      <c r="E3" s="28"/>
      <c r="G3" s="29" t="s">
        <v>86</v>
      </c>
      <c r="H3" s="29"/>
      <c r="I3" s="29"/>
      <c r="J3" s="29"/>
      <c r="K3" s="29"/>
      <c r="M3" s="30" t="s">
        <v>80</v>
      </c>
      <c r="N3" s="30"/>
    </row>
    <row r="4" spans="3:14" x14ac:dyDescent="0.15">
      <c r="C4" t="s">
        <v>81</v>
      </c>
      <c r="D4" t="s">
        <v>82</v>
      </c>
      <c r="E4" t="s">
        <v>79</v>
      </c>
      <c r="I4" t="s">
        <v>83</v>
      </c>
      <c r="J4" t="s">
        <v>84</v>
      </c>
      <c r="K4" s="18" t="s">
        <v>89</v>
      </c>
      <c r="L4" s="18"/>
      <c r="M4" s="18" t="s">
        <v>87</v>
      </c>
      <c r="N4" s="18" t="s">
        <v>88</v>
      </c>
    </row>
    <row r="5" spans="3:14" x14ac:dyDescent="0.15">
      <c r="C5">
        <v>-7801.92</v>
      </c>
      <c r="D5">
        <v>-1573.15</v>
      </c>
      <c r="E5">
        <f>RADIANS(E6)</f>
        <v>0.24347343065320895</v>
      </c>
      <c r="G5" s="20">
        <f>IF(C5=0,PI()/2,ATAN(D5/C5))</f>
        <v>0.19896839430209504</v>
      </c>
      <c r="H5" s="20">
        <f>IF(AND(G5&lt;=0,C5&lt;0),PI(),0)+IF(AND(G5&lt;=0,D5&lt;=0),PI()*2,0) + IF(AND(C5&lt;=0,D5&lt;0,G5&gt;0),PI(),0)</f>
        <v>3.1415926535897931</v>
      </c>
      <c r="I5" s="20">
        <f>H5+G5</f>
        <v>3.3405610478918883</v>
      </c>
      <c r="J5" s="20">
        <f>I5-E5</f>
        <v>3.0970876172386794</v>
      </c>
      <c r="K5" s="20">
        <f>SQRT(POWER(C5,2)+POWER(D5,2))</f>
        <v>7958.9419277250672</v>
      </c>
      <c r="M5" s="3">
        <f>K5*COS(J5)</f>
        <v>-7951.0610974331858</v>
      </c>
      <c r="N5" s="3">
        <f>K5*SIN(J5)</f>
        <v>354.09607987746233</v>
      </c>
    </row>
    <row r="6" spans="3:14" x14ac:dyDescent="0.15">
      <c r="E6" s="19">
        <v>13.95</v>
      </c>
      <c r="G6" s="20">
        <f>DEGREES(G5)</f>
        <v>11.400049250004862</v>
      </c>
      <c r="H6" s="20">
        <f>DEGREES(H5)</f>
        <v>180</v>
      </c>
      <c r="I6" s="20">
        <f>DEGREES(I5)</f>
        <v>191.40004925000488</v>
      </c>
      <c r="J6" s="20">
        <f>DEGREES(J5)</f>
        <v>177.45004925000487</v>
      </c>
      <c r="K6" s="20"/>
    </row>
    <row r="7" spans="3:14" x14ac:dyDescent="0.15">
      <c r="G7">
        <f>ATAN2(C5,D5)</f>
        <v>-2.9426242592876979</v>
      </c>
      <c r="H7">
        <f>IF(G7&lt;0,PI()*2,0)</f>
        <v>6.2831853071795862</v>
      </c>
      <c r="I7">
        <f>H7+G7</f>
        <v>3.3405610478918883</v>
      </c>
    </row>
    <row r="8" spans="3:14" x14ac:dyDescent="0.15">
      <c r="G8" s="20">
        <f>DEGREES(G7)</f>
        <v>-168.59995074999512</v>
      </c>
      <c r="I8" s="20">
        <f>DEGREES(I7)</f>
        <v>191.40004925000488</v>
      </c>
    </row>
    <row r="9" spans="3:14" x14ac:dyDescent="0.15">
      <c r="J9">
        <v>-6660.07</v>
      </c>
      <c r="K9">
        <v>-1066.96</v>
      </c>
      <c r="M9">
        <v>-6720.3584434279974</v>
      </c>
      <c r="N9">
        <v>575.95003111904077</v>
      </c>
    </row>
    <row r="10" spans="3:14" x14ac:dyDescent="0.15">
      <c r="J10">
        <v>-7884.98</v>
      </c>
      <c r="K10">
        <v>-1371.22</v>
      </c>
    </row>
    <row r="13" spans="3:14" x14ac:dyDescent="0.15">
      <c r="C13">
        <v>1253.42</v>
      </c>
      <c r="D13">
        <v>311.35000000000002</v>
      </c>
      <c r="J13">
        <v>2113.09</v>
      </c>
      <c r="K13">
        <v>-1113.3699999999999</v>
      </c>
      <c r="M13">
        <v>1782.3617835419616</v>
      </c>
      <c r="N13">
        <v>-1589.9460926613576</v>
      </c>
    </row>
    <row r="14" spans="3:14" x14ac:dyDescent="0.15">
      <c r="E14">
        <f>ATAN2(C13,D13)</f>
        <v>0.24347256946428786</v>
      </c>
      <c r="J14">
        <v>-7801.92</v>
      </c>
      <c r="K14">
        <v>-3576.23</v>
      </c>
      <c r="M14">
        <v>-8433.9537302866302</v>
      </c>
      <c r="N14">
        <v>-1589.9060269979052</v>
      </c>
    </row>
    <row r="15" spans="3:14" x14ac:dyDescent="0.15">
      <c r="E15" s="20">
        <f>DEGREES(E14)</f>
        <v>13.949950657509458</v>
      </c>
    </row>
  </sheetData>
  <mergeCells count="3">
    <mergeCell ref="C3:E3"/>
    <mergeCell ref="G3:K3"/>
    <mergeCell ref="M3:N3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3:U68"/>
  <sheetViews>
    <sheetView topLeftCell="A34" workbookViewId="0">
      <selection activeCell="D68" sqref="D68"/>
    </sheetView>
  </sheetViews>
  <sheetFormatPr defaultRowHeight="13.5" x14ac:dyDescent="0.15"/>
  <cols>
    <col min="1" max="3" width="9" style="5"/>
    <col min="4" max="4" width="26.375" style="5" customWidth="1"/>
    <col min="5" max="5" width="17.625" style="5" customWidth="1"/>
    <col min="6" max="13" width="9" style="5"/>
    <col min="14" max="21" width="3.625" style="5" customWidth="1"/>
    <col min="22" max="16384" width="9" style="5"/>
  </cols>
  <sheetData>
    <row r="3" spans="1:21" x14ac:dyDescent="0.15">
      <c r="E3" s="7" t="s">
        <v>64</v>
      </c>
      <c r="F3" s="7">
        <v>2</v>
      </c>
      <c r="G3" s="7" t="s">
        <v>65</v>
      </c>
      <c r="H3" s="7" t="s">
        <v>67</v>
      </c>
      <c r="I3" s="7" t="s">
        <v>66</v>
      </c>
      <c r="J3" s="7" t="s">
        <v>68</v>
      </c>
      <c r="K3" s="7" t="s">
        <v>69</v>
      </c>
      <c r="L3" s="5">
        <v>10</v>
      </c>
    </row>
    <row r="5" spans="1:21" x14ac:dyDescent="0.15">
      <c r="A5" s="31">
        <f>SUM(B5:B9)</f>
        <v>136</v>
      </c>
      <c r="B5" s="6">
        <v>10</v>
      </c>
      <c r="E5" s="7">
        <v>8</v>
      </c>
      <c r="F5" s="7">
        <v>18</v>
      </c>
      <c r="G5" s="7">
        <v>28</v>
      </c>
    </row>
    <row r="6" spans="1:21" x14ac:dyDescent="0.15">
      <c r="A6" s="31"/>
      <c r="B6" s="6">
        <v>18</v>
      </c>
      <c r="C6" s="5" t="s">
        <v>59</v>
      </c>
      <c r="E6" s="7">
        <v>0</v>
      </c>
      <c r="F6" s="7">
        <v>80</v>
      </c>
      <c r="G6" s="7">
        <v>150</v>
      </c>
      <c r="N6" s="8"/>
      <c r="O6" s="8"/>
      <c r="P6" s="8"/>
      <c r="Q6" s="9"/>
      <c r="R6" s="10"/>
      <c r="S6" s="8"/>
      <c r="T6" s="8"/>
      <c r="U6" s="8"/>
    </row>
    <row r="7" spans="1:21" x14ac:dyDescent="0.15">
      <c r="A7" s="31"/>
      <c r="B7" s="6">
        <v>70</v>
      </c>
      <c r="C7" s="5" t="s">
        <v>58</v>
      </c>
      <c r="N7" s="8"/>
      <c r="O7" s="8"/>
      <c r="P7" s="8"/>
      <c r="Q7" s="10"/>
      <c r="R7" s="9"/>
      <c r="S7" s="8"/>
      <c r="T7" s="8"/>
      <c r="U7" s="8"/>
    </row>
    <row r="8" spans="1:21" x14ac:dyDescent="0.15">
      <c r="A8" s="31"/>
      <c r="B8" s="6">
        <v>28</v>
      </c>
      <c r="C8" s="5" t="s">
        <v>60</v>
      </c>
      <c r="E8" s="7">
        <v>10</v>
      </c>
      <c r="F8" s="7">
        <v>20</v>
      </c>
      <c r="G8" s="7">
        <v>30</v>
      </c>
      <c r="H8" s="7">
        <v>50</v>
      </c>
      <c r="I8" s="7">
        <v>70</v>
      </c>
      <c r="J8" s="7">
        <v>100</v>
      </c>
      <c r="N8" s="8"/>
      <c r="O8" s="8"/>
      <c r="P8" s="8"/>
      <c r="Q8" s="8"/>
      <c r="R8" s="8"/>
      <c r="S8" s="8"/>
      <c r="T8" s="8"/>
      <c r="U8" s="8"/>
    </row>
    <row r="9" spans="1:21" x14ac:dyDescent="0.15">
      <c r="A9" s="31"/>
      <c r="B9" s="6">
        <v>10</v>
      </c>
      <c r="C9" s="5" t="s">
        <v>61</v>
      </c>
      <c r="E9" s="7">
        <v>100</v>
      </c>
      <c r="F9" s="7">
        <v>300</v>
      </c>
      <c r="G9" s="7">
        <v>1000</v>
      </c>
      <c r="H9" s="7">
        <v>2000</v>
      </c>
      <c r="I9" s="7">
        <v>3000</v>
      </c>
      <c r="J9" s="7">
        <v>5000</v>
      </c>
      <c r="N9" s="11"/>
      <c r="O9" s="11"/>
      <c r="P9" s="11"/>
      <c r="Q9" s="11"/>
      <c r="R9" s="11"/>
      <c r="S9" s="11"/>
      <c r="T9" s="11"/>
      <c r="U9" s="11"/>
    </row>
    <row r="10" spans="1:21" x14ac:dyDescent="0.15">
      <c r="N10" s="13"/>
      <c r="O10" s="14"/>
      <c r="P10" s="14"/>
      <c r="Q10" s="14"/>
      <c r="R10" s="14"/>
      <c r="S10" s="14"/>
      <c r="T10" s="14"/>
      <c r="U10" s="15"/>
    </row>
    <row r="11" spans="1:21" x14ac:dyDescent="0.15">
      <c r="N11" s="12"/>
      <c r="O11" s="12"/>
      <c r="P11" s="12"/>
      <c r="Q11" s="12"/>
      <c r="R11" s="12"/>
      <c r="S11" s="12"/>
      <c r="T11" s="12"/>
      <c r="U11" s="12"/>
    </row>
    <row r="12" spans="1:21" x14ac:dyDescent="0.15">
      <c r="A12" s="31">
        <f>SUM(B12:B16)</f>
        <v>136</v>
      </c>
      <c r="B12" s="6">
        <v>28</v>
      </c>
      <c r="C12" s="5" t="s">
        <v>60</v>
      </c>
      <c r="F12" s="7">
        <v>10</v>
      </c>
      <c r="G12" s="7">
        <v>20</v>
      </c>
      <c r="H12" s="7">
        <v>30</v>
      </c>
      <c r="I12" s="7">
        <v>50</v>
      </c>
      <c r="J12" s="7">
        <v>70</v>
      </c>
      <c r="K12" s="7">
        <v>100</v>
      </c>
      <c r="N12" s="8"/>
      <c r="O12" s="8"/>
      <c r="P12" s="8"/>
      <c r="Q12" s="8"/>
      <c r="R12" s="8"/>
      <c r="S12" s="8"/>
      <c r="T12" s="8"/>
      <c r="U12" s="8"/>
    </row>
    <row r="13" spans="1:21" x14ac:dyDescent="0.15">
      <c r="A13" s="31"/>
      <c r="B13" s="6">
        <v>30</v>
      </c>
      <c r="C13" s="5" t="s">
        <v>62</v>
      </c>
      <c r="E13" s="5">
        <v>10</v>
      </c>
      <c r="F13" s="5">
        <f>LOOKUP($E13,$E$8:$J$8,$E$9:$J$9)+LOOKUP(F$12,$E$8:$J$8,$E$9:$J$9)</f>
        <v>200</v>
      </c>
      <c r="G13" s="5">
        <f>LOOKUP($E13,$E$8:$J$8,$E$9:$J$9)+LOOKUP(G$12,$E$8:$J$8,$E$9:$J$9)</f>
        <v>400</v>
      </c>
      <c r="H13" s="5">
        <f t="shared" ref="H13:K14" si="0">LOOKUP($E13,$E$8:$J$8,$E$9:$J$9)+LOOKUP(H$12,$E$8:$J$8,$E$9:$J$9)</f>
        <v>1100</v>
      </c>
      <c r="I13" s="5">
        <f t="shared" si="0"/>
        <v>2100</v>
      </c>
      <c r="J13" s="5">
        <f t="shared" si="0"/>
        <v>3100</v>
      </c>
      <c r="K13" s="5">
        <f t="shared" si="0"/>
        <v>5100</v>
      </c>
      <c r="N13" s="8"/>
      <c r="O13" s="8"/>
      <c r="P13" s="8"/>
      <c r="Q13" s="9"/>
      <c r="R13" s="10"/>
      <c r="S13" s="8"/>
      <c r="T13" s="8"/>
      <c r="U13" s="8"/>
    </row>
    <row r="14" spans="1:21" x14ac:dyDescent="0.15">
      <c r="A14" s="31"/>
      <c r="B14" s="6">
        <v>18</v>
      </c>
      <c r="C14" s="5" t="s">
        <v>59</v>
      </c>
      <c r="E14" s="5">
        <v>20</v>
      </c>
      <c r="F14" s="5">
        <f>LOOKUP(E14,$E$8:$J$8,$E$9:$J$9)+LOOKUP(F$12,$E$8:$J$8,$E$9:$J$9)</f>
        <v>400</v>
      </c>
      <c r="G14" s="5">
        <f>LOOKUP($E14,$E$8:$J$8,$E$9:$J$9)+LOOKUP(G$12,$E$8:$J$8,$E$9:$J$9)</f>
        <v>600</v>
      </c>
      <c r="H14" s="5">
        <f t="shared" si="0"/>
        <v>1300</v>
      </c>
      <c r="I14" s="5">
        <f t="shared" si="0"/>
        <v>2300</v>
      </c>
      <c r="J14" s="5">
        <f t="shared" si="0"/>
        <v>3300</v>
      </c>
      <c r="K14" s="5">
        <f t="shared" si="0"/>
        <v>5300</v>
      </c>
      <c r="N14" s="8"/>
      <c r="O14" s="8"/>
      <c r="P14" s="8"/>
      <c r="Q14" s="10"/>
      <c r="R14" s="9"/>
      <c r="S14" s="8"/>
      <c r="T14" s="8"/>
      <c r="U14" s="8"/>
    </row>
    <row r="15" spans="1:21" x14ac:dyDescent="0.15">
      <c r="A15" s="31"/>
      <c r="B15" s="6">
        <v>50</v>
      </c>
      <c r="C15" s="5" t="s">
        <v>63</v>
      </c>
      <c r="E15" s="5">
        <v>30</v>
      </c>
      <c r="F15" s="5">
        <f>LOOKUP(E15,$E$8:$J$8,$E$9:$J$9)+LOOKUP(F$12,$E$8:$J$8,$E$9:$J$9)</f>
        <v>1100</v>
      </c>
      <c r="G15" s="5">
        <f t="shared" ref="G15:K18" si="1">LOOKUP($E15,$E$8:$J$8,$E$9:$J$9)+LOOKUP(G$12,$E$8:$J$8,$E$9:$J$9)</f>
        <v>1300</v>
      </c>
      <c r="H15" s="5">
        <f t="shared" si="1"/>
        <v>2000</v>
      </c>
      <c r="I15" s="5">
        <f t="shared" si="1"/>
        <v>3000</v>
      </c>
      <c r="J15" s="5">
        <f t="shared" si="1"/>
        <v>4000</v>
      </c>
      <c r="K15" s="5">
        <f t="shared" si="1"/>
        <v>6000</v>
      </c>
    </row>
    <row r="16" spans="1:21" x14ac:dyDescent="0.15">
      <c r="A16" s="31"/>
      <c r="B16" s="6">
        <v>10</v>
      </c>
      <c r="E16" s="5">
        <v>50</v>
      </c>
      <c r="F16" s="5">
        <f t="shared" ref="F16:F18" si="2">LOOKUP(E16,$E$8:$J$8,$E$9:$J$9)+LOOKUP(F$12,$E$8:$J$8,$E$9:$J$9)</f>
        <v>2100</v>
      </c>
      <c r="G16" s="5">
        <f t="shared" si="1"/>
        <v>2300</v>
      </c>
      <c r="H16" s="5">
        <f t="shared" si="1"/>
        <v>3000</v>
      </c>
      <c r="I16" s="5">
        <f t="shared" si="1"/>
        <v>4000</v>
      </c>
      <c r="J16" s="5">
        <f t="shared" si="1"/>
        <v>5000</v>
      </c>
      <c r="K16" s="5">
        <f t="shared" si="1"/>
        <v>7000</v>
      </c>
    </row>
    <row r="17" spans="4:11" x14ac:dyDescent="0.15">
      <c r="E17" s="5">
        <v>70</v>
      </c>
      <c r="F17" s="5">
        <f t="shared" si="2"/>
        <v>3100</v>
      </c>
      <c r="G17" s="5">
        <f t="shared" si="1"/>
        <v>3300</v>
      </c>
      <c r="H17" s="5">
        <f t="shared" si="1"/>
        <v>4000</v>
      </c>
      <c r="I17" s="5">
        <f t="shared" si="1"/>
        <v>5000</v>
      </c>
      <c r="J17" s="5">
        <f t="shared" si="1"/>
        <v>6000</v>
      </c>
      <c r="K17" s="5">
        <f t="shared" si="1"/>
        <v>8000</v>
      </c>
    </row>
    <row r="18" spans="4:11" x14ac:dyDescent="0.15">
      <c r="E18" s="5">
        <v>100</v>
      </c>
      <c r="F18" s="5">
        <f t="shared" si="2"/>
        <v>5100</v>
      </c>
      <c r="G18" s="5">
        <f t="shared" si="1"/>
        <v>5300</v>
      </c>
      <c r="H18" s="5">
        <f t="shared" si="1"/>
        <v>6000</v>
      </c>
      <c r="I18" s="5">
        <f t="shared" si="1"/>
        <v>7000</v>
      </c>
      <c r="J18" s="5">
        <f t="shared" si="1"/>
        <v>8000</v>
      </c>
      <c r="K18" s="5">
        <f>LOOKUP($E18,$E$8:$J$8,$E$9:$J$9)+LOOKUP(K$12,$E$8:$J$8,$E$9:$J$9)</f>
        <v>10000</v>
      </c>
    </row>
    <row r="23" spans="4:11" x14ac:dyDescent="0.15">
      <c r="E23" s="5" t="s">
        <v>71</v>
      </c>
      <c r="G23" s="5" t="s">
        <v>72</v>
      </c>
      <c r="I23" s="5" t="s">
        <v>73</v>
      </c>
    </row>
    <row r="24" spans="4:11" x14ac:dyDescent="0.15">
      <c r="D24" s="5" t="s">
        <v>74</v>
      </c>
      <c r="E24" s="5">
        <v>80</v>
      </c>
      <c r="G24" s="5">
        <v>20</v>
      </c>
    </row>
    <row r="25" spans="4:11" x14ac:dyDescent="0.15">
      <c r="D25" s="5" t="s">
        <v>75</v>
      </c>
      <c r="E25" s="5">
        <v>20</v>
      </c>
      <c r="F25" s="16">
        <v>0.3</v>
      </c>
      <c r="G25" s="5">
        <v>80</v>
      </c>
      <c r="H25" s="16">
        <v>0.5</v>
      </c>
    </row>
    <row r="31" spans="4:11" x14ac:dyDescent="0.15">
      <c r="D31" s="5">
        <v>11454.4</v>
      </c>
      <c r="F31" s="5">
        <v>1408</v>
      </c>
    </row>
    <row r="32" spans="4:11" x14ac:dyDescent="0.15">
      <c r="F32" s="5">
        <v>804</v>
      </c>
    </row>
    <row r="33" spans="2:4" x14ac:dyDescent="0.15">
      <c r="B33" s="5">
        <f>SUM(C33:C34)</f>
        <v>3642.2</v>
      </c>
      <c r="C33" s="5">
        <v>2555.56</v>
      </c>
    </row>
    <row r="34" spans="2:4" x14ac:dyDescent="0.15">
      <c r="C34" s="5">
        <v>1086.6400000000001</v>
      </c>
    </row>
    <row r="39" spans="2:4" x14ac:dyDescent="0.15">
      <c r="D39" s="5">
        <v>1380</v>
      </c>
    </row>
    <row r="40" spans="2:4" x14ac:dyDescent="0.15">
      <c r="D40" s="5">
        <v>2014.3</v>
      </c>
    </row>
    <row r="41" spans="2:4" x14ac:dyDescent="0.15">
      <c r="B41" s="5">
        <f>B33-C41</f>
        <v>6.919999999999618</v>
      </c>
      <c r="C41" s="5">
        <f>D41+D39</f>
        <v>3635.28</v>
      </c>
      <c r="D41" s="5">
        <v>2255.2800000000002</v>
      </c>
    </row>
    <row r="42" spans="2:4" x14ac:dyDescent="0.15">
      <c r="C42" s="5">
        <f>C41+D40</f>
        <v>5649.58</v>
      </c>
    </row>
    <row r="48" spans="2:4" x14ac:dyDescent="0.15">
      <c r="D48" s="22">
        <v>765269496.78999996</v>
      </c>
    </row>
    <row r="51" spans="3:13" x14ac:dyDescent="0.15">
      <c r="D51" s="22">
        <v>1486215187.5999999</v>
      </c>
    </row>
    <row r="52" spans="3:13" x14ac:dyDescent="0.15">
      <c r="D52" s="22">
        <v>984032174.19000006</v>
      </c>
    </row>
    <row r="54" spans="3:13" x14ac:dyDescent="0.15">
      <c r="C54" s="5" t="s">
        <v>92</v>
      </c>
      <c r="D54" s="22">
        <f>D51-D52</f>
        <v>502183013.40999985</v>
      </c>
    </row>
    <row r="56" spans="3:13" x14ac:dyDescent="0.15">
      <c r="D56" s="22"/>
    </row>
    <row r="57" spans="3:13" x14ac:dyDescent="0.15">
      <c r="D57" s="22">
        <v>887245.81</v>
      </c>
    </row>
    <row r="58" spans="3:13" x14ac:dyDescent="0.15">
      <c r="D58" s="22">
        <v>209162813.22999999</v>
      </c>
      <c r="E58" s="22">
        <v>185229557.30000001</v>
      </c>
    </row>
    <row r="59" spans="3:13" x14ac:dyDescent="0.15">
      <c r="D59" s="22">
        <v>52833840</v>
      </c>
      <c r="H59" s="32"/>
      <c r="I59" s="32"/>
      <c r="J59" s="32"/>
      <c r="K59" s="32"/>
      <c r="L59" s="32"/>
      <c r="M59" s="32"/>
    </row>
    <row r="60" spans="3:13" x14ac:dyDescent="0.15">
      <c r="D60" s="22">
        <v>-66567.149999999994</v>
      </c>
    </row>
    <row r="61" spans="3:13" x14ac:dyDescent="0.15">
      <c r="D61" s="22">
        <v>269151.49</v>
      </c>
    </row>
    <row r="65" spans="3:4" x14ac:dyDescent="0.15">
      <c r="C65" s="5" t="s">
        <v>93</v>
      </c>
      <c r="D65" s="22">
        <f>SUM(D57:D61)</f>
        <v>263086483.38</v>
      </c>
    </row>
    <row r="68" spans="3:4" x14ac:dyDescent="0.15">
      <c r="C68" s="5" t="s">
        <v>94</v>
      </c>
      <c r="D68" s="23">
        <f>D54+D65</f>
        <v>765269496.78999984</v>
      </c>
    </row>
  </sheetData>
  <mergeCells count="3">
    <mergeCell ref="A5:A9"/>
    <mergeCell ref="A12:A16"/>
    <mergeCell ref="H59:M59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L23"/>
  <sheetViews>
    <sheetView tabSelected="1" zoomScaleNormal="100" workbookViewId="0">
      <selection activeCell="F21" sqref="F21"/>
    </sheetView>
  </sheetViews>
  <sheetFormatPr defaultRowHeight="13.5" x14ac:dyDescent="0.15"/>
  <cols>
    <col min="11" max="11" width="9.5" bestFit="1" customWidth="1"/>
  </cols>
  <sheetData>
    <row r="2" spans="5:10" x14ac:dyDescent="0.15">
      <c r="E2">
        <f>STDEV(H2,I2,J2)</f>
        <v>1.5275252316519468</v>
      </c>
      <c r="H2">
        <v>1</v>
      </c>
      <c r="I2">
        <v>2</v>
      </c>
      <c r="J2">
        <v>4</v>
      </c>
    </row>
    <row r="4" spans="5:10" x14ac:dyDescent="0.15">
      <c r="E4" t="s">
        <v>76</v>
      </c>
      <c r="F4">
        <v>18008</v>
      </c>
    </row>
    <row r="6" spans="5:10" x14ac:dyDescent="0.15">
      <c r="E6" t="s">
        <v>77</v>
      </c>
      <c r="F6">
        <v>17977</v>
      </c>
      <c r="G6">
        <v>17977</v>
      </c>
      <c r="I6">
        <v>168</v>
      </c>
    </row>
    <row r="8" spans="5:10" x14ac:dyDescent="0.15">
      <c r="E8" t="s">
        <v>78</v>
      </c>
      <c r="F8">
        <f>(F4-F6)/F4</f>
        <v>1.7214571301643715E-3</v>
      </c>
      <c r="G8" s="17">
        <f>1-G6/F4</f>
        <v>1.7214571301643611E-3</v>
      </c>
    </row>
    <row r="17" spans="3:12" x14ac:dyDescent="0.15">
      <c r="H17" t="s">
        <v>103</v>
      </c>
      <c r="I17" t="s">
        <v>104</v>
      </c>
      <c r="L17" t="s">
        <v>105</v>
      </c>
    </row>
    <row r="18" spans="3:12" x14ac:dyDescent="0.15">
      <c r="C18" t="s">
        <v>96</v>
      </c>
      <c r="H18">
        <v>10605890</v>
      </c>
      <c r="I18" t="s">
        <v>95</v>
      </c>
      <c r="L18" t="str">
        <f>CONCATENATE($C$18,H18,$C$19,LEN(I18),$C$20,I18,$C$21)</f>
        <v xml:space="preserve">(Left(g_csUserName, 8) = "10605890" And Left(g_csComputerName, 13) = "134-TECH-QR-A") Or _ </v>
      </c>
    </row>
    <row r="19" spans="3:12" x14ac:dyDescent="0.15">
      <c r="C19" t="s">
        <v>97</v>
      </c>
      <c r="H19">
        <v>10605728</v>
      </c>
      <c r="I19" t="s">
        <v>100</v>
      </c>
      <c r="L19" t="str">
        <f>CONCATENATE($C$18,H19,$C$19,LEN(I19),$C$20,I19,$C$21)</f>
        <v xml:space="preserve">(Left(g_csUserName, 8) = "10605728" And Left(g_csComputerName, 13) = "134-DESI-LL-A") Or _ </v>
      </c>
    </row>
    <row r="20" spans="3:12" x14ac:dyDescent="0.15">
      <c r="C20" t="s">
        <v>98</v>
      </c>
      <c r="H20">
        <v>10605729</v>
      </c>
      <c r="I20" t="s">
        <v>101</v>
      </c>
      <c r="L20" t="str">
        <f t="shared" ref="L20:L23" si="0">CONCATENATE($C$18,H20,$C$19,LEN(I20),$C$20,I20,$C$21)</f>
        <v xml:space="preserve">(Left(g_csUserName, 8) = "10605729" And Left(g_csComputerName, 14) = "135-DESI-LLd-A") Or _ </v>
      </c>
    </row>
    <row r="21" spans="3:12" x14ac:dyDescent="0.15">
      <c r="C21" t="s">
        <v>99</v>
      </c>
      <c r="H21">
        <v>10605730</v>
      </c>
      <c r="I21" t="s">
        <v>102</v>
      </c>
      <c r="L21" t="str">
        <f t="shared" si="0"/>
        <v xml:space="preserve">(Left(g_csUserName, 8) = "10605730" And Left(g_csComputerName, 15) = "136-DESI-vcLL-A") Or _ </v>
      </c>
    </row>
    <row r="22" spans="3:12" x14ac:dyDescent="0.15">
      <c r="H22">
        <v>10605728</v>
      </c>
      <c r="I22" t="s">
        <v>100</v>
      </c>
      <c r="L22" t="str">
        <f t="shared" si="0"/>
        <v xml:space="preserve">(Left(g_csUserName, 8) = "10605728" And Left(g_csComputerName, 13) = "134-DESI-LL-A") Or _ </v>
      </c>
    </row>
    <row r="23" spans="3:12" x14ac:dyDescent="0.15">
      <c r="H23">
        <v>10605729</v>
      </c>
      <c r="I23" t="s">
        <v>101</v>
      </c>
      <c r="L23" t="str">
        <f t="shared" si="0"/>
        <v xml:space="preserve">(Left(g_csUserName, 8) = "10605729" And Left(g_csComputerName, 14) = "135-DESI-LLd-A") Or _ 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V41"/>
  <sheetViews>
    <sheetView workbookViewId="0">
      <selection activeCell="C12" sqref="C12"/>
    </sheetView>
  </sheetViews>
  <sheetFormatPr defaultRowHeight="13.5" x14ac:dyDescent="0.15"/>
  <cols>
    <col min="18" max="18" width="13" customWidth="1"/>
  </cols>
  <sheetData>
    <row r="6" spans="1:22" x14ac:dyDescent="0.15">
      <c r="L6">
        <f>SUM(L7:L12)</f>
        <v>2212</v>
      </c>
      <c r="M6">
        <f>SUM(M7:M12)</f>
        <v>2931</v>
      </c>
      <c r="P6">
        <v>1</v>
      </c>
      <c r="Q6">
        <f>SUM(B7:B12)</f>
        <v>75544.86</v>
      </c>
      <c r="R6">
        <f>Q6</f>
        <v>75544.86</v>
      </c>
      <c r="S6">
        <f>L6</f>
        <v>2212</v>
      </c>
      <c r="T6">
        <f>S6</f>
        <v>2212</v>
      </c>
      <c r="V6">
        <v>2019.99</v>
      </c>
    </row>
    <row r="7" spans="1:22" x14ac:dyDescent="0.15">
      <c r="A7">
        <v>1</v>
      </c>
      <c r="B7">
        <v>8300</v>
      </c>
      <c r="F7">
        <v>6065.36</v>
      </c>
      <c r="L7">
        <v>804.5</v>
      </c>
      <c r="M7">
        <v>1072</v>
      </c>
      <c r="P7">
        <v>2</v>
      </c>
      <c r="Q7">
        <f>B14</f>
        <v>8300</v>
      </c>
      <c r="R7">
        <f>Q7+R6</f>
        <v>83844.86</v>
      </c>
      <c r="S7">
        <f>S6</f>
        <v>2212</v>
      </c>
      <c r="T7">
        <f>S7+T6</f>
        <v>4424</v>
      </c>
      <c r="V7">
        <v>3682.1</v>
      </c>
    </row>
    <row r="8" spans="1:22" x14ac:dyDescent="0.15">
      <c r="C8">
        <v>2212</v>
      </c>
      <c r="D8">
        <v>1000</v>
      </c>
      <c r="E8">
        <v>-2.64</v>
      </c>
      <c r="L8">
        <v>50.3</v>
      </c>
      <c r="M8">
        <v>67</v>
      </c>
      <c r="P8">
        <v>3</v>
      </c>
      <c r="Q8">
        <f>Q7</f>
        <v>8300</v>
      </c>
      <c r="R8">
        <f>Q8+R7</f>
        <v>92144.86</v>
      </c>
      <c r="S8">
        <f>S7</f>
        <v>2212</v>
      </c>
      <c r="T8">
        <f t="shared" ref="T8:T16" si="0">S8+T7</f>
        <v>6636</v>
      </c>
      <c r="V8">
        <v>8.8000000000000007</v>
      </c>
    </row>
    <row r="9" spans="1:22" x14ac:dyDescent="0.15">
      <c r="C9">
        <v>20</v>
      </c>
      <c r="L9">
        <v>201.2</v>
      </c>
      <c r="M9">
        <v>268</v>
      </c>
      <c r="P9">
        <v>4</v>
      </c>
      <c r="Q9">
        <f>B17</f>
        <v>11499</v>
      </c>
      <c r="R9">
        <f>Q9+R8</f>
        <v>103643.86</v>
      </c>
      <c r="S9">
        <f>M6</f>
        <v>2931</v>
      </c>
      <c r="T9">
        <f t="shared" si="0"/>
        <v>9567</v>
      </c>
      <c r="V9">
        <v>256.8</v>
      </c>
    </row>
    <row r="10" spans="1:22" x14ac:dyDescent="0.15">
      <c r="B10">
        <v>2061.86</v>
      </c>
      <c r="E10">
        <v>-61.86</v>
      </c>
      <c r="F10">
        <v>2000</v>
      </c>
      <c r="L10">
        <v>704</v>
      </c>
      <c r="M10">
        <v>938</v>
      </c>
      <c r="P10">
        <v>5</v>
      </c>
      <c r="Q10">
        <f>B21</f>
        <v>8434</v>
      </c>
      <c r="R10">
        <f t="shared" ref="R10:R16" si="1">Q10+R9</f>
        <v>112077.86</v>
      </c>
      <c r="S10">
        <f>S9</f>
        <v>2931</v>
      </c>
      <c r="T10">
        <f t="shared" si="0"/>
        <v>12498</v>
      </c>
      <c r="V10">
        <v>0</v>
      </c>
    </row>
    <row r="11" spans="1:22" x14ac:dyDescent="0.15">
      <c r="B11">
        <v>29183</v>
      </c>
      <c r="E11">
        <v>-875.49</v>
      </c>
      <c r="F11">
        <v>28307.51</v>
      </c>
      <c r="L11">
        <v>402</v>
      </c>
      <c r="M11">
        <v>536</v>
      </c>
      <c r="P11">
        <v>6</v>
      </c>
      <c r="Q11">
        <f>B23</f>
        <v>15838</v>
      </c>
      <c r="R11">
        <f t="shared" si="1"/>
        <v>127915.86</v>
      </c>
      <c r="S11">
        <f t="shared" ref="S11:S16" si="2">S10</f>
        <v>2931</v>
      </c>
      <c r="T11">
        <f t="shared" si="0"/>
        <v>15429</v>
      </c>
      <c r="V11">
        <v>641</v>
      </c>
    </row>
    <row r="12" spans="1:22" x14ac:dyDescent="0.15">
      <c r="B12" s="4">
        <v>36000</v>
      </c>
      <c r="E12">
        <v>-1080</v>
      </c>
      <c r="F12">
        <v>34920</v>
      </c>
      <c r="L12">
        <v>50</v>
      </c>
      <c r="M12">
        <v>50</v>
      </c>
      <c r="P12">
        <v>7</v>
      </c>
      <c r="Q12">
        <f>B26</f>
        <v>9930</v>
      </c>
      <c r="R12">
        <f t="shared" si="1"/>
        <v>137845.85999999999</v>
      </c>
      <c r="S12">
        <f t="shared" si="2"/>
        <v>2931</v>
      </c>
      <c r="T12">
        <f t="shared" si="0"/>
        <v>18360</v>
      </c>
      <c r="V12">
        <v>99.9</v>
      </c>
    </row>
    <row r="13" spans="1:22" x14ac:dyDescent="0.15">
      <c r="L13">
        <v>20</v>
      </c>
      <c r="M13">
        <v>20</v>
      </c>
      <c r="P13">
        <v>8</v>
      </c>
      <c r="Q13">
        <f>SUM(B29:B31)</f>
        <v>32285</v>
      </c>
      <c r="R13">
        <f t="shared" si="1"/>
        <v>170130.86</v>
      </c>
      <c r="S13">
        <f t="shared" si="2"/>
        <v>2931</v>
      </c>
      <c r="T13">
        <f t="shared" si="0"/>
        <v>21291</v>
      </c>
      <c r="V13">
        <v>2335.4</v>
      </c>
    </row>
    <row r="14" spans="1:22" x14ac:dyDescent="0.15">
      <c r="A14">
        <v>2</v>
      </c>
      <c r="B14">
        <v>8300</v>
      </c>
      <c r="F14">
        <v>6065.36</v>
      </c>
      <c r="P14">
        <v>9</v>
      </c>
      <c r="Q14">
        <f>B34</f>
        <v>13423</v>
      </c>
      <c r="R14">
        <f t="shared" si="1"/>
        <v>183553.86</v>
      </c>
      <c r="S14">
        <f t="shared" si="2"/>
        <v>2931</v>
      </c>
      <c r="T14">
        <f t="shared" si="0"/>
        <v>24222</v>
      </c>
      <c r="V14">
        <v>449.2</v>
      </c>
    </row>
    <row r="15" spans="1:22" x14ac:dyDescent="0.15">
      <c r="A15">
        <v>3</v>
      </c>
      <c r="E15">
        <v>-2.64</v>
      </c>
      <c r="P15">
        <v>10</v>
      </c>
      <c r="Q15">
        <f>B37</f>
        <v>9530</v>
      </c>
      <c r="R15">
        <f t="shared" si="1"/>
        <v>193083.86</v>
      </c>
      <c r="S15">
        <f t="shared" si="2"/>
        <v>2931</v>
      </c>
      <c r="T15">
        <f t="shared" si="0"/>
        <v>27153</v>
      </c>
      <c r="V15">
        <v>59.9</v>
      </c>
    </row>
    <row r="16" spans="1:22" x14ac:dyDescent="0.15">
      <c r="P16">
        <v>11</v>
      </c>
      <c r="Q16">
        <f>B40</f>
        <v>9530</v>
      </c>
      <c r="R16">
        <f t="shared" si="1"/>
        <v>202613.86</v>
      </c>
      <c r="S16">
        <f t="shared" si="2"/>
        <v>2931</v>
      </c>
      <c r="T16">
        <f t="shared" si="0"/>
        <v>30084</v>
      </c>
      <c r="V16">
        <v>59.9</v>
      </c>
    </row>
    <row r="17" spans="1:6" x14ac:dyDescent="0.15">
      <c r="A17">
        <v>4</v>
      </c>
      <c r="B17">
        <v>11499</v>
      </c>
      <c r="F17">
        <v>8470.9599999999991</v>
      </c>
    </row>
    <row r="18" spans="1:6" x14ac:dyDescent="0.15">
      <c r="C18">
        <f>SUM(M7:M12)</f>
        <v>2931</v>
      </c>
      <c r="E18">
        <v>-77.040000000000006</v>
      </c>
    </row>
    <row r="19" spans="1:6" x14ac:dyDescent="0.15">
      <c r="C19">
        <v>20</v>
      </c>
    </row>
    <row r="21" spans="1:6" x14ac:dyDescent="0.15">
      <c r="A21">
        <v>5</v>
      </c>
      <c r="B21">
        <v>8434</v>
      </c>
      <c r="E21">
        <v>0</v>
      </c>
      <c r="F21">
        <v>5483</v>
      </c>
    </row>
    <row r="23" spans="1:6" x14ac:dyDescent="0.15">
      <c r="A23">
        <v>6</v>
      </c>
      <c r="B23">
        <v>15838</v>
      </c>
      <c r="F23">
        <v>12380.62</v>
      </c>
    </row>
    <row r="24" spans="1:6" x14ac:dyDescent="0.15">
      <c r="E24">
        <v>-506.38</v>
      </c>
    </row>
    <row r="26" spans="1:6" x14ac:dyDescent="0.15">
      <c r="A26">
        <v>7</v>
      </c>
      <c r="B26">
        <v>9930</v>
      </c>
      <c r="F26">
        <v>6879.1</v>
      </c>
    </row>
    <row r="27" spans="1:6" x14ac:dyDescent="0.15">
      <c r="E27">
        <v>-99.9</v>
      </c>
    </row>
    <row r="29" spans="1:6" x14ac:dyDescent="0.15">
      <c r="A29">
        <v>8</v>
      </c>
      <c r="B29">
        <v>9930</v>
      </c>
      <c r="F29">
        <v>6879.1</v>
      </c>
    </row>
    <row r="30" spans="1:6" x14ac:dyDescent="0.15">
      <c r="E30">
        <v>-99.9</v>
      </c>
    </row>
    <row r="31" spans="1:6" x14ac:dyDescent="0.15">
      <c r="B31">
        <v>22355</v>
      </c>
      <c r="F31">
        <v>20119.5</v>
      </c>
    </row>
    <row r="32" spans="1:6" x14ac:dyDescent="0.15">
      <c r="E32">
        <v>-2235.5</v>
      </c>
    </row>
    <row r="34" spans="1:6" x14ac:dyDescent="0.15">
      <c r="A34">
        <v>9</v>
      </c>
      <c r="B34">
        <v>13423</v>
      </c>
      <c r="F34">
        <v>10022.799999999999</v>
      </c>
    </row>
    <row r="35" spans="1:6" x14ac:dyDescent="0.15">
      <c r="E35">
        <v>-449.2</v>
      </c>
    </row>
    <row r="37" spans="1:6" x14ac:dyDescent="0.15">
      <c r="A37">
        <v>10</v>
      </c>
      <c r="B37">
        <v>9530</v>
      </c>
      <c r="F37">
        <v>6519.1</v>
      </c>
    </row>
    <row r="38" spans="1:6" x14ac:dyDescent="0.15">
      <c r="E38">
        <v>-59.9</v>
      </c>
    </row>
    <row r="40" spans="1:6" x14ac:dyDescent="0.15">
      <c r="A40">
        <v>11</v>
      </c>
      <c r="B40">
        <v>9530</v>
      </c>
      <c r="F40">
        <v>6519.1</v>
      </c>
    </row>
    <row r="41" spans="1:6" x14ac:dyDescent="0.15">
      <c r="E41">
        <v>-59.9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46"/>
  <sheetViews>
    <sheetView workbookViewId="0">
      <selection activeCell="J45" sqref="J45:J46"/>
    </sheetView>
  </sheetViews>
  <sheetFormatPr defaultRowHeight="13.5" x14ac:dyDescent="0.15"/>
  <cols>
    <col min="1" max="23" width="6.625" customWidth="1"/>
  </cols>
  <sheetData>
    <row r="1" spans="1:21" x14ac:dyDescent="0.15"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</row>
    <row r="2" spans="1:21" x14ac:dyDescent="0.15">
      <c r="A2" s="4">
        <v>1</v>
      </c>
      <c r="B2">
        <f>$A2+B$1</f>
        <v>2</v>
      </c>
      <c r="C2">
        <f t="shared" ref="C2:U15" si="0">$A2+C$1</f>
        <v>3</v>
      </c>
      <c r="D2">
        <f t="shared" si="0"/>
        <v>4</v>
      </c>
      <c r="E2">
        <f t="shared" si="0"/>
        <v>5</v>
      </c>
      <c r="F2">
        <f t="shared" si="0"/>
        <v>6</v>
      </c>
      <c r="G2">
        <f t="shared" si="0"/>
        <v>7</v>
      </c>
      <c r="H2">
        <f t="shared" si="0"/>
        <v>8</v>
      </c>
      <c r="I2">
        <f t="shared" si="0"/>
        <v>9</v>
      </c>
      <c r="J2">
        <f t="shared" si="0"/>
        <v>10</v>
      </c>
      <c r="K2">
        <f t="shared" si="0"/>
        <v>11</v>
      </c>
      <c r="L2">
        <f t="shared" si="0"/>
        <v>12</v>
      </c>
      <c r="M2">
        <f t="shared" si="0"/>
        <v>13</v>
      </c>
      <c r="N2">
        <f t="shared" si="0"/>
        <v>14</v>
      </c>
      <c r="O2">
        <f t="shared" si="0"/>
        <v>15</v>
      </c>
      <c r="P2">
        <f t="shared" si="0"/>
        <v>16</v>
      </c>
      <c r="Q2">
        <f t="shared" si="0"/>
        <v>17</v>
      </c>
      <c r="R2">
        <f t="shared" si="0"/>
        <v>18</v>
      </c>
      <c r="S2">
        <f t="shared" si="0"/>
        <v>19</v>
      </c>
      <c r="T2">
        <f t="shared" si="0"/>
        <v>20</v>
      </c>
      <c r="U2">
        <f t="shared" si="0"/>
        <v>21</v>
      </c>
    </row>
    <row r="3" spans="1:21" x14ac:dyDescent="0.15">
      <c r="A3" s="4">
        <v>2</v>
      </c>
      <c r="B3">
        <f t="shared" ref="B3:Q21" si="1">$A3+B$1</f>
        <v>3</v>
      </c>
      <c r="C3">
        <f>$A3+C$1</f>
        <v>4</v>
      </c>
      <c r="D3">
        <f t="shared" si="0"/>
        <v>5</v>
      </c>
      <c r="E3">
        <f t="shared" si="0"/>
        <v>6</v>
      </c>
      <c r="F3">
        <f t="shared" si="0"/>
        <v>7</v>
      </c>
      <c r="G3">
        <f t="shared" si="0"/>
        <v>8</v>
      </c>
      <c r="H3">
        <f t="shared" si="0"/>
        <v>9</v>
      </c>
      <c r="I3">
        <f t="shared" si="0"/>
        <v>10</v>
      </c>
      <c r="J3">
        <f t="shared" si="0"/>
        <v>11</v>
      </c>
      <c r="K3">
        <f t="shared" si="0"/>
        <v>12</v>
      </c>
      <c r="L3">
        <f t="shared" si="0"/>
        <v>13</v>
      </c>
      <c r="M3">
        <f t="shared" si="0"/>
        <v>14</v>
      </c>
      <c r="N3">
        <f t="shared" si="0"/>
        <v>15</v>
      </c>
      <c r="O3">
        <f t="shared" si="0"/>
        <v>16</v>
      </c>
      <c r="P3">
        <f t="shared" si="0"/>
        <v>17</v>
      </c>
      <c r="Q3">
        <f t="shared" si="0"/>
        <v>18</v>
      </c>
      <c r="R3">
        <f t="shared" si="0"/>
        <v>19</v>
      </c>
      <c r="S3">
        <f t="shared" si="0"/>
        <v>20</v>
      </c>
      <c r="T3">
        <f t="shared" si="0"/>
        <v>21</v>
      </c>
      <c r="U3">
        <f t="shared" si="0"/>
        <v>22</v>
      </c>
    </row>
    <row r="4" spans="1:21" x14ac:dyDescent="0.15">
      <c r="A4" s="4">
        <v>3</v>
      </c>
      <c r="B4">
        <f t="shared" si="1"/>
        <v>4</v>
      </c>
      <c r="C4">
        <f t="shared" si="0"/>
        <v>5</v>
      </c>
      <c r="D4">
        <f t="shared" si="0"/>
        <v>6</v>
      </c>
      <c r="E4">
        <f t="shared" si="0"/>
        <v>7</v>
      </c>
      <c r="F4">
        <f t="shared" si="0"/>
        <v>8</v>
      </c>
      <c r="G4">
        <f t="shared" si="0"/>
        <v>9</v>
      </c>
      <c r="H4">
        <f t="shared" si="0"/>
        <v>10</v>
      </c>
      <c r="I4">
        <f t="shared" si="0"/>
        <v>11</v>
      </c>
      <c r="J4">
        <f t="shared" si="0"/>
        <v>12</v>
      </c>
      <c r="K4">
        <f t="shared" si="0"/>
        <v>13</v>
      </c>
      <c r="L4">
        <f t="shared" si="0"/>
        <v>14</v>
      </c>
      <c r="M4">
        <f t="shared" si="0"/>
        <v>15</v>
      </c>
      <c r="N4">
        <f t="shared" si="0"/>
        <v>16</v>
      </c>
      <c r="O4">
        <f t="shared" si="0"/>
        <v>17</v>
      </c>
      <c r="P4">
        <f t="shared" si="0"/>
        <v>18</v>
      </c>
      <c r="Q4">
        <f t="shared" si="0"/>
        <v>19</v>
      </c>
      <c r="R4">
        <f t="shared" si="0"/>
        <v>20</v>
      </c>
      <c r="S4">
        <f t="shared" si="0"/>
        <v>21</v>
      </c>
      <c r="T4">
        <f t="shared" si="0"/>
        <v>22</v>
      </c>
      <c r="U4">
        <f t="shared" si="0"/>
        <v>23</v>
      </c>
    </row>
    <row r="5" spans="1:21" x14ac:dyDescent="0.15">
      <c r="A5" s="4">
        <v>4</v>
      </c>
      <c r="B5">
        <f t="shared" si="1"/>
        <v>5</v>
      </c>
      <c r="C5">
        <f t="shared" si="0"/>
        <v>6</v>
      </c>
      <c r="D5">
        <f t="shared" si="0"/>
        <v>7</v>
      </c>
      <c r="E5">
        <f t="shared" si="0"/>
        <v>8</v>
      </c>
      <c r="F5">
        <f t="shared" si="0"/>
        <v>9</v>
      </c>
      <c r="G5">
        <f t="shared" si="0"/>
        <v>10</v>
      </c>
      <c r="H5">
        <f t="shared" si="0"/>
        <v>11</v>
      </c>
      <c r="I5">
        <f t="shared" si="0"/>
        <v>12</v>
      </c>
      <c r="J5">
        <f t="shared" si="0"/>
        <v>13</v>
      </c>
      <c r="K5">
        <f t="shared" si="0"/>
        <v>14</v>
      </c>
      <c r="L5">
        <f t="shared" si="0"/>
        <v>15</v>
      </c>
      <c r="M5">
        <f t="shared" si="0"/>
        <v>16</v>
      </c>
      <c r="N5">
        <f t="shared" si="0"/>
        <v>17</v>
      </c>
      <c r="O5">
        <f t="shared" si="0"/>
        <v>18</v>
      </c>
      <c r="P5">
        <f t="shared" si="0"/>
        <v>19</v>
      </c>
      <c r="Q5">
        <f t="shared" si="0"/>
        <v>20</v>
      </c>
      <c r="R5">
        <f t="shared" si="0"/>
        <v>21</v>
      </c>
      <c r="S5">
        <f t="shared" si="0"/>
        <v>22</v>
      </c>
      <c r="T5">
        <f t="shared" si="0"/>
        <v>23</v>
      </c>
      <c r="U5">
        <f t="shared" si="0"/>
        <v>24</v>
      </c>
    </row>
    <row r="6" spans="1:21" x14ac:dyDescent="0.15">
      <c r="A6" s="4">
        <v>5</v>
      </c>
      <c r="B6">
        <f t="shared" si="1"/>
        <v>6</v>
      </c>
      <c r="C6">
        <f t="shared" si="0"/>
        <v>7</v>
      </c>
      <c r="D6">
        <f t="shared" si="0"/>
        <v>8</v>
      </c>
      <c r="E6">
        <f t="shared" si="0"/>
        <v>9</v>
      </c>
      <c r="F6">
        <f t="shared" si="0"/>
        <v>10</v>
      </c>
      <c r="G6">
        <f t="shared" si="0"/>
        <v>11</v>
      </c>
      <c r="H6">
        <f t="shared" si="0"/>
        <v>12</v>
      </c>
      <c r="I6">
        <f t="shared" si="0"/>
        <v>13</v>
      </c>
      <c r="J6">
        <f t="shared" si="0"/>
        <v>14</v>
      </c>
      <c r="K6">
        <f t="shared" si="0"/>
        <v>15</v>
      </c>
      <c r="L6">
        <f t="shared" si="0"/>
        <v>16</v>
      </c>
      <c r="M6">
        <f t="shared" si="0"/>
        <v>17</v>
      </c>
      <c r="N6">
        <f t="shared" si="0"/>
        <v>18</v>
      </c>
      <c r="O6">
        <f t="shared" si="0"/>
        <v>19</v>
      </c>
      <c r="P6">
        <f t="shared" si="0"/>
        <v>20</v>
      </c>
      <c r="Q6">
        <f t="shared" si="0"/>
        <v>21</v>
      </c>
      <c r="R6">
        <f t="shared" si="0"/>
        <v>22</v>
      </c>
      <c r="S6">
        <f t="shared" si="0"/>
        <v>23</v>
      </c>
      <c r="T6">
        <f t="shared" si="0"/>
        <v>24</v>
      </c>
      <c r="U6">
        <f t="shared" si="0"/>
        <v>25</v>
      </c>
    </row>
    <row r="7" spans="1:21" x14ac:dyDescent="0.15">
      <c r="A7" s="4">
        <v>6</v>
      </c>
      <c r="B7">
        <f t="shared" si="1"/>
        <v>7</v>
      </c>
      <c r="C7">
        <f t="shared" si="0"/>
        <v>8</v>
      </c>
      <c r="D7">
        <f t="shared" si="0"/>
        <v>9</v>
      </c>
      <c r="E7">
        <f t="shared" si="0"/>
        <v>10</v>
      </c>
      <c r="F7">
        <f t="shared" si="0"/>
        <v>11</v>
      </c>
      <c r="G7">
        <f t="shared" si="0"/>
        <v>12</v>
      </c>
      <c r="H7">
        <f t="shared" si="0"/>
        <v>13</v>
      </c>
      <c r="I7">
        <f t="shared" si="0"/>
        <v>14</v>
      </c>
      <c r="J7">
        <f t="shared" si="0"/>
        <v>15</v>
      </c>
      <c r="K7">
        <f t="shared" si="0"/>
        <v>16</v>
      </c>
      <c r="L7">
        <f t="shared" si="0"/>
        <v>17</v>
      </c>
      <c r="M7">
        <f t="shared" si="0"/>
        <v>18</v>
      </c>
      <c r="N7">
        <f t="shared" si="0"/>
        <v>19</v>
      </c>
      <c r="O7">
        <f t="shared" si="0"/>
        <v>20</v>
      </c>
      <c r="P7">
        <f t="shared" si="0"/>
        <v>21</v>
      </c>
      <c r="Q7">
        <f t="shared" si="0"/>
        <v>22</v>
      </c>
      <c r="R7">
        <f t="shared" si="0"/>
        <v>23</v>
      </c>
      <c r="S7">
        <f t="shared" si="0"/>
        <v>24</v>
      </c>
      <c r="T7">
        <f t="shared" si="0"/>
        <v>25</v>
      </c>
      <c r="U7">
        <f t="shared" si="0"/>
        <v>26</v>
      </c>
    </row>
    <row r="8" spans="1:21" x14ac:dyDescent="0.15">
      <c r="A8" s="4">
        <v>7</v>
      </c>
      <c r="B8">
        <f t="shared" si="1"/>
        <v>8</v>
      </c>
      <c r="C8">
        <f t="shared" si="0"/>
        <v>9</v>
      </c>
      <c r="D8">
        <f t="shared" si="0"/>
        <v>10</v>
      </c>
      <c r="E8">
        <f t="shared" si="0"/>
        <v>11</v>
      </c>
      <c r="F8">
        <f t="shared" si="0"/>
        <v>12</v>
      </c>
      <c r="G8">
        <f t="shared" si="0"/>
        <v>13</v>
      </c>
      <c r="H8">
        <f t="shared" si="0"/>
        <v>14</v>
      </c>
      <c r="I8">
        <f t="shared" si="0"/>
        <v>15</v>
      </c>
      <c r="J8">
        <f t="shared" si="0"/>
        <v>16</v>
      </c>
      <c r="K8">
        <f t="shared" si="0"/>
        <v>17</v>
      </c>
      <c r="L8">
        <f t="shared" si="0"/>
        <v>18</v>
      </c>
      <c r="M8">
        <f t="shared" si="0"/>
        <v>19</v>
      </c>
      <c r="N8">
        <f t="shared" si="0"/>
        <v>20</v>
      </c>
      <c r="O8">
        <f t="shared" si="0"/>
        <v>21</v>
      </c>
      <c r="P8">
        <f t="shared" si="0"/>
        <v>22</v>
      </c>
      <c r="Q8">
        <f t="shared" si="0"/>
        <v>23</v>
      </c>
      <c r="R8">
        <f t="shared" si="0"/>
        <v>24</v>
      </c>
      <c r="S8">
        <f t="shared" si="0"/>
        <v>25</v>
      </c>
      <c r="T8">
        <f t="shared" si="0"/>
        <v>26</v>
      </c>
      <c r="U8">
        <f t="shared" si="0"/>
        <v>27</v>
      </c>
    </row>
    <row r="9" spans="1:21" x14ac:dyDescent="0.15">
      <c r="A9" s="4">
        <v>8</v>
      </c>
      <c r="B9">
        <f t="shared" si="1"/>
        <v>9</v>
      </c>
      <c r="C9">
        <f t="shared" si="0"/>
        <v>10</v>
      </c>
      <c r="D9">
        <f t="shared" si="0"/>
        <v>11</v>
      </c>
      <c r="E9">
        <f t="shared" si="0"/>
        <v>12</v>
      </c>
      <c r="F9">
        <f t="shared" si="0"/>
        <v>13</v>
      </c>
      <c r="G9">
        <f t="shared" si="0"/>
        <v>14</v>
      </c>
      <c r="H9">
        <f t="shared" si="0"/>
        <v>15</v>
      </c>
      <c r="I9">
        <f t="shared" si="0"/>
        <v>16</v>
      </c>
      <c r="J9">
        <f t="shared" si="0"/>
        <v>17</v>
      </c>
      <c r="K9">
        <f t="shared" si="0"/>
        <v>18</v>
      </c>
      <c r="L9">
        <f t="shared" si="0"/>
        <v>19</v>
      </c>
      <c r="M9">
        <f t="shared" si="0"/>
        <v>20</v>
      </c>
      <c r="N9">
        <f t="shared" si="0"/>
        <v>21</v>
      </c>
      <c r="O9">
        <f t="shared" si="0"/>
        <v>22</v>
      </c>
      <c r="P9">
        <f t="shared" si="0"/>
        <v>23</v>
      </c>
      <c r="Q9">
        <f t="shared" si="0"/>
        <v>24</v>
      </c>
      <c r="R9">
        <f t="shared" si="0"/>
        <v>25</v>
      </c>
      <c r="S9">
        <f t="shared" si="0"/>
        <v>26</v>
      </c>
      <c r="T9">
        <f t="shared" si="0"/>
        <v>27</v>
      </c>
      <c r="U9">
        <f t="shared" si="0"/>
        <v>28</v>
      </c>
    </row>
    <row r="10" spans="1:21" x14ac:dyDescent="0.15">
      <c r="A10" s="4">
        <v>9</v>
      </c>
      <c r="B10">
        <f t="shared" si="1"/>
        <v>10</v>
      </c>
      <c r="C10">
        <f t="shared" si="0"/>
        <v>11</v>
      </c>
      <c r="D10">
        <f t="shared" si="0"/>
        <v>12</v>
      </c>
      <c r="E10">
        <f t="shared" si="0"/>
        <v>13</v>
      </c>
      <c r="F10">
        <f t="shared" si="0"/>
        <v>14</v>
      </c>
      <c r="G10">
        <f t="shared" si="0"/>
        <v>15</v>
      </c>
      <c r="H10">
        <f t="shared" si="0"/>
        <v>16</v>
      </c>
      <c r="I10">
        <f t="shared" si="0"/>
        <v>17</v>
      </c>
      <c r="J10">
        <f t="shared" si="0"/>
        <v>18</v>
      </c>
      <c r="K10">
        <f t="shared" si="0"/>
        <v>19</v>
      </c>
      <c r="L10">
        <f t="shared" si="0"/>
        <v>20</v>
      </c>
      <c r="M10">
        <f t="shared" si="0"/>
        <v>21</v>
      </c>
      <c r="N10">
        <f t="shared" si="0"/>
        <v>22</v>
      </c>
      <c r="O10">
        <f t="shared" si="0"/>
        <v>23</v>
      </c>
      <c r="P10">
        <f t="shared" si="0"/>
        <v>24</v>
      </c>
      <c r="Q10">
        <f t="shared" si="0"/>
        <v>25</v>
      </c>
      <c r="R10">
        <f t="shared" si="0"/>
        <v>26</v>
      </c>
      <c r="S10">
        <f t="shared" si="0"/>
        <v>27</v>
      </c>
      <c r="T10">
        <f t="shared" si="0"/>
        <v>28</v>
      </c>
      <c r="U10">
        <f t="shared" si="0"/>
        <v>29</v>
      </c>
    </row>
    <row r="11" spans="1:21" x14ac:dyDescent="0.15">
      <c r="A11" s="4">
        <v>10</v>
      </c>
      <c r="B11">
        <f t="shared" si="1"/>
        <v>11</v>
      </c>
      <c r="C11">
        <f t="shared" si="0"/>
        <v>12</v>
      </c>
      <c r="D11">
        <f t="shared" si="0"/>
        <v>13</v>
      </c>
      <c r="E11">
        <f t="shared" si="0"/>
        <v>14</v>
      </c>
      <c r="F11">
        <f t="shared" si="0"/>
        <v>15</v>
      </c>
      <c r="G11">
        <f t="shared" si="0"/>
        <v>16</v>
      </c>
      <c r="H11">
        <f t="shared" si="0"/>
        <v>17</v>
      </c>
      <c r="I11">
        <f t="shared" si="0"/>
        <v>18</v>
      </c>
      <c r="J11">
        <f t="shared" si="0"/>
        <v>19</v>
      </c>
      <c r="K11">
        <f t="shared" si="0"/>
        <v>20</v>
      </c>
      <c r="L11">
        <f t="shared" si="0"/>
        <v>21</v>
      </c>
      <c r="M11">
        <f t="shared" si="0"/>
        <v>22</v>
      </c>
      <c r="N11">
        <f t="shared" si="0"/>
        <v>23</v>
      </c>
      <c r="O11">
        <f t="shared" si="0"/>
        <v>24</v>
      </c>
      <c r="P11">
        <f t="shared" si="0"/>
        <v>25</v>
      </c>
      <c r="Q11">
        <f t="shared" si="0"/>
        <v>26</v>
      </c>
      <c r="R11">
        <f t="shared" si="0"/>
        <v>27</v>
      </c>
      <c r="S11">
        <f t="shared" si="0"/>
        <v>28</v>
      </c>
      <c r="T11">
        <f t="shared" si="0"/>
        <v>29</v>
      </c>
      <c r="U11">
        <f t="shared" si="0"/>
        <v>30</v>
      </c>
    </row>
    <row r="12" spans="1:21" x14ac:dyDescent="0.15">
      <c r="A12" s="4">
        <v>11</v>
      </c>
      <c r="B12">
        <f t="shared" si="1"/>
        <v>12</v>
      </c>
      <c r="C12">
        <f t="shared" si="0"/>
        <v>13</v>
      </c>
      <c r="D12">
        <f t="shared" si="0"/>
        <v>14</v>
      </c>
      <c r="E12">
        <f t="shared" si="0"/>
        <v>15</v>
      </c>
      <c r="F12">
        <f t="shared" si="0"/>
        <v>16</v>
      </c>
      <c r="G12">
        <f t="shared" si="0"/>
        <v>17</v>
      </c>
      <c r="H12">
        <f t="shared" si="0"/>
        <v>18</v>
      </c>
      <c r="I12">
        <f t="shared" si="0"/>
        <v>19</v>
      </c>
      <c r="J12">
        <f t="shared" si="0"/>
        <v>20</v>
      </c>
      <c r="K12">
        <f t="shared" si="0"/>
        <v>21</v>
      </c>
      <c r="L12">
        <f t="shared" si="0"/>
        <v>22</v>
      </c>
      <c r="M12">
        <f t="shared" si="0"/>
        <v>23</v>
      </c>
      <c r="N12">
        <f t="shared" si="0"/>
        <v>24</v>
      </c>
      <c r="O12">
        <f t="shared" si="0"/>
        <v>25</v>
      </c>
      <c r="P12">
        <f t="shared" si="0"/>
        <v>26</v>
      </c>
      <c r="Q12">
        <f t="shared" si="0"/>
        <v>27</v>
      </c>
      <c r="R12">
        <f t="shared" si="0"/>
        <v>28</v>
      </c>
      <c r="S12">
        <f t="shared" si="0"/>
        <v>29</v>
      </c>
      <c r="T12">
        <f t="shared" si="0"/>
        <v>30</v>
      </c>
      <c r="U12">
        <f t="shared" si="0"/>
        <v>31</v>
      </c>
    </row>
    <row r="13" spans="1:21" x14ac:dyDescent="0.15">
      <c r="A13" s="4">
        <v>12</v>
      </c>
      <c r="B13">
        <f t="shared" si="1"/>
        <v>13</v>
      </c>
      <c r="C13">
        <f t="shared" si="0"/>
        <v>14</v>
      </c>
      <c r="D13">
        <f t="shared" si="0"/>
        <v>15</v>
      </c>
      <c r="E13">
        <f t="shared" si="0"/>
        <v>16</v>
      </c>
      <c r="F13">
        <f t="shared" si="0"/>
        <v>17</v>
      </c>
      <c r="G13">
        <f t="shared" si="0"/>
        <v>18</v>
      </c>
      <c r="H13">
        <f t="shared" si="0"/>
        <v>19</v>
      </c>
      <c r="I13">
        <f t="shared" si="0"/>
        <v>20</v>
      </c>
      <c r="J13">
        <f t="shared" si="0"/>
        <v>21</v>
      </c>
      <c r="K13">
        <f t="shared" si="0"/>
        <v>22</v>
      </c>
      <c r="L13">
        <f t="shared" si="0"/>
        <v>23</v>
      </c>
      <c r="M13">
        <f t="shared" si="0"/>
        <v>24</v>
      </c>
      <c r="N13">
        <f t="shared" si="0"/>
        <v>25</v>
      </c>
      <c r="O13">
        <f t="shared" si="0"/>
        <v>26</v>
      </c>
      <c r="P13">
        <f t="shared" si="0"/>
        <v>27</v>
      </c>
      <c r="Q13">
        <f t="shared" si="0"/>
        <v>28</v>
      </c>
      <c r="R13">
        <f t="shared" si="0"/>
        <v>29</v>
      </c>
      <c r="S13">
        <f t="shared" si="0"/>
        <v>30</v>
      </c>
      <c r="T13">
        <f t="shared" si="0"/>
        <v>31</v>
      </c>
      <c r="U13">
        <f t="shared" si="0"/>
        <v>32</v>
      </c>
    </row>
    <row r="14" spans="1:21" x14ac:dyDescent="0.15">
      <c r="A14" s="4">
        <v>13</v>
      </c>
      <c r="B14">
        <f t="shared" si="1"/>
        <v>14</v>
      </c>
      <c r="C14">
        <f t="shared" si="0"/>
        <v>15</v>
      </c>
      <c r="D14">
        <f t="shared" si="0"/>
        <v>16</v>
      </c>
      <c r="E14">
        <f t="shared" si="0"/>
        <v>17</v>
      </c>
      <c r="F14">
        <f t="shared" si="0"/>
        <v>18</v>
      </c>
      <c r="G14">
        <f t="shared" si="0"/>
        <v>19</v>
      </c>
      <c r="H14">
        <f t="shared" si="0"/>
        <v>20</v>
      </c>
      <c r="I14">
        <f t="shared" si="0"/>
        <v>21</v>
      </c>
      <c r="J14">
        <f t="shared" si="0"/>
        <v>22</v>
      </c>
      <c r="K14">
        <f t="shared" si="0"/>
        <v>23</v>
      </c>
      <c r="L14">
        <f t="shared" si="0"/>
        <v>24</v>
      </c>
      <c r="M14">
        <f t="shared" si="0"/>
        <v>25</v>
      </c>
      <c r="N14">
        <f t="shared" si="0"/>
        <v>26</v>
      </c>
      <c r="O14">
        <f t="shared" si="0"/>
        <v>27</v>
      </c>
      <c r="P14">
        <f t="shared" si="0"/>
        <v>28</v>
      </c>
      <c r="Q14">
        <f t="shared" si="0"/>
        <v>29</v>
      </c>
      <c r="R14">
        <f t="shared" si="0"/>
        <v>30</v>
      </c>
      <c r="S14">
        <f t="shared" si="0"/>
        <v>31</v>
      </c>
      <c r="T14">
        <f t="shared" si="0"/>
        <v>32</v>
      </c>
      <c r="U14">
        <f t="shared" si="0"/>
        <v>33</v>
      </c>
    </row>
    <row r="15" spans="1:21" x14ac:dyDescent="0.15">
      <c r="A15" s="4">
        <v>14</v>
      </c>
      <c r="B15">
        <f t="shared" si="1"/>
        <v>15</v>
      </c>
      <c r="C15">
        <f t="shared" si="0"/>
        <v>16</v>
      </c>
      <c r="D15">
        <f t="shared" si="0"/>
        <v>17</v>
      </c>
      <c r="E15">
        <f t="shared" si="0"/>
        <v>18</v>
      </c>
      <c r="F15">
        <f t="shared" si="0"/>
        <v>19</v>
      </c>
      <c r="G15">
        <f t="shared" si="0"/>
        <v>20</v>
      </c>
      <c r="H15">
        <f t="shared" si="0"/>
        <v>21</v>
      </c>
      <c r="I15">
        <f t="shared" si="0"/>
        <v>22</v>
      </c>
      <c r="J15">
        <f t="shared" si="0"/>
        <v>23</v>
      </c>
      <c r="K15">
        <f t="shared" ref="K15:U21" si="2">$A15+K$1</f>
        <v>24</v>
      </c>
      <c r="L15">
        <f t="shared" si="2"/>
        <v>25</v>
      </c>
      <c r="M15">
        <f t="shared" si="2"/>
        <v>26</v>
      </c>
      <c r="N15">
        <f t="shared" si="2"/>
        <v>27</v>
      </c>
      <c r="O15">
        <f t="shared" si="2"/>
        <v>28</v>
      </c>
      <c r="P15">
        <f t="shared" si="2"/>
        <v>29</v>
      </c>
      <c r="Q15">
        <f t="shared" si="2"/>
        <v>30</v>
      </c>
      <c r="R15">
        <f t="shared" si="2"/>
        <v>31</v>
      </c>
      <c r="S15">
        <f t="shared" si="2"/>
        <v>32</v>
      </c>
      <c r="T15">
        <f t="shared" si="2"/>
        <v>33</v>
      </c>
      <c r="U15">
        <f t="shared" si="2"/>
        <v>34</v>
      </c>
    </row>
    <row r="16" spans="1:21" x14ac:dyDescent="0.15">
      <c r="A16" s="4">
        <v>15</v>
      </c>
      <c r="B16">
        <f t="shared" si="1"/>
        <v>16</v>
      </c>
      <c r="C16">
        <f t="shared" si="1"/>
        <v>17</v>
      </c>
      <c r="D16">
        <f t="shared" si="1"/>
        <v>18</v>
      </c>
      <c r="E16">
        <f t="shared" si="1"/>
        <v>19</v>
      </c>
      <c r="F16">
        <f t="shared" si="1"/>
        <v>20</v>
      </c>
      <c r="G16">
        <f t="shared" si="1"/>
        <v>21</v>
      </c>
      <c r="H16">
        <f t="shared" si="1"/>
        <v>22</v>
      </c>
      <c r="I16">
        <f t="shared" si="1"/>
        <v>23</v>
      </c>
      <c r="J16">
        <f t="shared" si="1"/>
        <v>24</v>
      </c>
      <c r="K16">
        <f t="shared" si="1"/>
        <v>25</v>
      </c>
      <c r="L16">
        <f t="shared" si="1"/>
        <v>26</v>
      </c>
      <c r="M16">
        <f t="shared" si="1"/>
        <v>27</v>
      </c>
      <c r="N16">
        <f t="shared" si="1"/>
        <v>28</v>
      </c>
      <c r="O16">
        <f t="shared" si="1"/>
        <v>29</v>
      </c>
      <c r="P16">
        <f t="shared" si="1"/>
        <v>30</v>
      </c>
      <c r="Q16">
        <f t="shared" si="1"/>
        <v>31</v>
      </c>
      <c r="R16">
        <f t="shared" si="2"/>
        <v>32</v>
      </c>
      <c r="S16">
        <f t="shared" si="2"/>
        <v>33</v>
      </c>
      <c r="T16">
        <f t="shared" si="2"/>
        <v>34</v>
      </c>
      <c r="U16">
        <f t="shared" si="2"/>
        <v>35</v>
      </c>
    </row>
    <row r="17" spans="1:21" x14ac:dyDescent="0.15">
      <c r="A17" s="4">
        <v>16</v>
      </c>
      <c r="B17">
        <f t="shared" si="1"/>
        <v>17</v>
      </c>
      <c r="C17">
        <f t="shared" si="1"/>
        <v>18</v>
      </c>
      <c r="D17">
        <f t="shared" si="1"/>
        <v>19</v>
      </c>
      <c r="E17">
        <f t="shared" si="1"/>
        <v>20</v>
      </c>
      <c r="F17">
        <f t="shared" si="1"/>
        <v>21</v>
      </c>
      <c r="G17">
        <f t="shared" si="1"/>
        <v>22</v>
      </c>
      <c r="H17">
        <f t="shared" si="1"/>
        <v>23</v>
      </c>
      <c r="I17">
        <f t="shared" si="1"/>
        <v>24</v>
      </c>
      <c r="J17">
        <f t="shared" si="1"/>
        <v>25</v>
      </c>
      <c r="K17">
        <f t="shared" si="1"/>
        <v>26</v>
      </c>
      <c r="L17">
        <f t="shared" si="1"/>
        <v>27</v>
      </c>
      <c r="M17">
        <f t="shared" si="1"/>
        <v>28</v>
      </c>
      <c r="N17">
        <f t="shared" si="1"/>
        <v>29</v>
      </c>
      <c r="O17">
        <f t="shared" si="1"/>
        <v>30</v>
      </c>
      <c r="P17">
        <f t="shared" si="1"/>
        <v>31</v>
      </c>
      <c r="Q17">
        <f t="shared" si="1"/>
        <v>32</v>
      </c>
      <c r="R17">
        <f t="shared" si="2"/>
        <v>33</v>
      </c>
      <c r="S17">
        <f t="shared" si="2"/>
        <v>34</v>
      </c>
      <c r="T17">
        <f t="shared" si="2"/>
        <v>35</v>
      </c>
      <c r="U17">
        <f t="shared" si="2"/>
        <v>36</v>
      </c>
    </row>
    <row r="18" spans="1:21" x14ac:dyDescent="0.15">
      <c r="A18" s="4">
        <v>17</v>
      </c>
      <c r="B18">
        <f t="shared" si="1"/>
        <v>18</v>
      </c>
      <c r="C18">
        <f t="shared" si="1"/>
        <v>19</v>
      </c>
      <c r="D18">
        <f t="shared" si="1"/>
        <v>20</v>
      </c>
      <c r="E18">
        <f t="shared" si="1"/>
        <v>21</v>
      </c>
      <c r="F18">
        <f t="shared" si="1"/>
        <v>22</v>
      </c>
      <c r="G18">
        <f t="shared" si="1"/>
        <v>23</v>
      </c>
      <c r="H18">
        <f t="shared" si="1"/>
        <v>24</v>
      </c>
      <c r="I18">
        <f t="shared" si="1"/>
        <v>25</v>
      </c>
      <c r="J18">
        <f t="shared" si="1"/>
        <v>26</v>
      </c>
      <c r="K18">
        <f t="shared" si="1"/>
        <v>27</v>
      </c>
      <c r="L18">
        <f t="shared" si="1"/>
        <v>28</v>
      </c>
      <c r="M18">
        <f t="shared" si="1"/>
        <v>29</v>
      </c>
      <c r="N18">
        <f t="shared" si="1"/>
        <v>30</v>
      </c>
      <c r="O18">
        <f t="shared" si="1"/>
        <v>31</v>
      </c>
      <c r="P18">
        <f t="shared" si="1"/>
        <v>32</v>
      </c>
      <c r="Q18">
        <f t="shared" si="1"/>
        <v>33</v>
      </c>
      <c r="R18">
        <f t="shared" si="2"/>
        <v>34</v>
      </c>
      <c r="S18">
        <f t="shared" si="2"/>
        <v>35</v>
      </c>
      <c r="T18">
        <f t="shared" si="2"/>
        <v>36</v>
      </c>
      <c r="U18">
        <f t="shared" si="2"/>
        <v>37</v>
      </c>
    </row>
    <row r="19" spans="1:21" x14ac:dyDescent="0.15">
      <c r="A19" s="4">
        <v>18</v>
      </c>
      <c r="B19">
        <f t="shared" si="1"/>
        <v>19</v>
      </c>
      <c r="C19">
        <f t="shared" si="1"/>
        <v>20</v>
      </c>
      <c r="D19">
        <f t="shared" si="1"/>
        <v>21</v>
      </c>
      <c r="E19">
        <f t="shared" si="1"/>
        <v>22</v>
      </c>
      <c r="F19">
        <f t="shared" si="1"/>
        <v>23</v>
      </c>
      <c r="G19">
        <f t="shared" si="1"/>
        <v>24</v>
      </c>
      <c r="H19">
        <f t="shared" si="1"/>
        <v>25</v>
      </c>
      <c r="I19">
        <f t="shared" si="1"/>
        <v>26</v>
      </c>
      <c r="J19">
        <f t="shared" si="1"/>
        <v>27</v>
      </c>
      <c r="K19">
        <f t="shared" si="1"/>
        <v>28</v>
      </c>
      <c r="L19">
        <f t="shared" si="1"/>
        <v>29</v>
      </c>
      <c r="M19">
        <f t="shared" si="1"/>
        <v>30</v>
      </c>
      <c r="N19">
        <f t="shared" si="1"/>
        <v>31</v>
      </c>
      <c r="O19">
        <f t="shared" si="1"/>
        <v>32</v>
      </c>
      <c r="P19">
        <f t="shared" si="1"/>
        <v>33</v>
      </c>
      <c r="Q19">
        <f t="shared" si="1"/>
        <v>34</v>
      </c>
      <c r="R19">
        <f t="shared" si="2"/>
        <v>35</v>
      </c>
      <c r="S19">
        <f t="shared" si="2"/>
        <v>36</v>
      </c>
      <c r="T19">
        <f t="shared" si="2"/>
        <v>37</v>
      </c>
      <c r="U19">
        <f t="shared" si="2"/>
        <v>38</v>
      </c>
    </row>
    <row r="20" spans="1:21" x14ac:dyDescent="0.15">
      <c r="A20" s="4">
        <v>19</v>
      </c>
      <c r="B20">
        <f t="shared" si="1"/>
        <v>20</v>
      </c>
      <c r="C20">
        <f t="shared" si="1"/>
        <v>21</v>
      </c>
      <c r="D20">
        <f t="shared" si="1"/>
        <v>22</v>
      </c>
      <c r="E20">
        <f t="shared" si="1"/>
        <v>23</v>
      </c>
      <c r="F20">
        <f t="shared" si="1"/>
        <v>24</v>
      </c>
      <c r="G20">
        <f t="shared" si="1"/>
        <v>25</v>
      </c>
      <c r="H20">
        <f t="shared" si="1"/>
        <v>26</v>
      </c>
      <c r="I20">
        <f t="shared" si="1"/>
        <v>27</v>
      </c>
      <c r="J20">
        <f t="shared" si="1"/>
        <v>28</v>
      </c>
      <c r="K20">
        <f t="shared" si="1"/>
        <v>29</v>
      </c>
      <c r="L20">
        <f t="shared" si="1"/>
        <v>30</v>
      </c>
      <c r="M20">
        <f t="shared" si="1"/>
        <v>31</v>
      </c>
      <c r="N20">
        <f t="shared" si="1"/>
        <v>32</v>
      </c>
      <c r="O20">
        <f t="shared" si="1"/>
        <v>33</v>
      </c>
      <c r="P20">
        <f t="shared" si="1"/>
        <v>34</v>
      </c>
      <c r="Q20">
        <f t="shared" si="1"/>
        <v>35</v>
      </c>
      <c r="R20">
        <f t="shared" si="2"/>
        <v>36</v>
      </c>
      <c r="S20">
        <f t="shared" si="2"/>
        <v>37</v>
      </c>
      <c r="T20">
        <f t="shared" si="2"/>
        <v>38</v>
      </c>
      <c r="U20">
        <f t="shared" si="2"/>
        <v>39</v>
      </c>
    </row>
    <row r="21" spans="1:21" x14ac:dyDescent="0.15">
      <c r="A21" s="4">
        <v>20</v>
      </c>
      <c r="B21">
        <f t="shared" si="1"/>
        <v>21</v>
      </c>
      <c r="C21">
        <f t="shared" si="1"/>
        <v>22</v>
      </c>
      <c r="D21">
        <f t="shared" si="1"/>
        <v>23</v>
      </c>
      <c r="E21">
        <f t="shared" si="1"/>
        <v>24</v>
      </c>
      <c r="F21">
        <f t="shared" si="1"/>
        <v>25</v>
      </c>
      <c r="G21">
        <f t="shared" si="1"/>
        <v>26</v>
      </c>
      <c r="H21">
        <f t="shared" si="1"/>
        <v>27</v>
      </c>
      <c r="I21">
        <f t="shared" si="1"/>
        <v>28</v>
      </c>
      <c r="J21">
        <f t="shared" si="1"/>
        <v>29</v>
      </c>
      <c r="K21">
        <f t="shared" si="1"/>
        <v>30</v>
      </c>
      <c r="L21">
        <f t="shared" si="1"/>
        <v>31</v>
      </c>
      <c r="M21">
        <f t="shared" si="1"/>
        <v>32</v>
      </c>
      <c r="N21">
        <f t="shared" si="1"/>
        <v>33</v>
      </c>
      <c r="O21">
        <f t="shared" si="1"/>
        <v>34</v>
      </c>
      <c r="P21">
        <f t="shared" si="1"/>
        <v>35</v>
      </c>
      <c r="Q21">
        <f t="shared" si="1"/>
        <v>36</v>
      </c>
      <c r="R21">
        <f t="shared" si="2"/>
        <v>37</v>
      </c>
      <c r="S21">
        <f t="shared" si="2"/>
        <v>38</v>
      </c>
      <c r="T21">
        <f t="shared" si="2"/>
        <v>39</v>
      </c>
      <c r="U21">
        <f t="shared" si="2"/>
        <v>40</v>
      </c>
    </row>
    <row r="26" spans="1:21" x14ac:dyDescent="0.15">
      <c r="B26" s="4">
        <v>1</v>
      </c>
      <c r="C26" s="4">
        <v>2</v>
      </c>
      <c r="D26" s="4">
        <v>3</v>
      </c>
      <c r="E26" s="4">
        <v>4</v>
      </c>
      <c r="F26" s="4">
        <v>5</v>
      </c>
      <c r="G26" s="4">
        <v>6</v>
      </c>
      <c r="H26" s="4">
        <v>7</v>
      </c>
      <c r="I26" s="4">
        <v>8</v>
      </c>
      <c r="J26" s="4">
        <v>9</v>
      </c>
      <c r="K26" s="4">
        <v>10</v>
      </c>
      <c r="L26" s="4">
        <v>11</v>
      </c>
      <c r="M26" s="4">
        <v>12</v>
      </c>
      <c r="N26" s="4">
        <v>13</v>
      </c>
      <c r="O26" s="4">
        <v>14</v>
      </c>
      <c r="P26" s="4">
        <v>15</v>
      </c>
      <c r="Q26" s="4">
        <v>16</v>
      </c>
      <c r="R26" s="4">
        <v>17</v>
      </c>
      <c r="S26" s="4">
        <v>18</v>
      </c>
      <c r="T26" s="4">
        <v>19</v>
      </c>
      <c r="U26" s="4">
        <v>20</v>
      </c>
    </row>
    <row r="27" spans="1:21" x14ac:dyDescent="0.15">
      <c r="A27" s="4">
        <v>1</v>
      </c>
      <c r="E27">
        <f t="shared" ref="C27:U39" si="3">$A27*E$26</f>
        <v>4</v>
      </c>
      <c r="F27">
        <f t="shared" si="3"/>
        <v>5</v>
      </c>
      <c r="G27">
        <f t="shared" si="3"/>
        <v>6</v>
      </c>
      <c r="H27">
        <f t="shared" si="3"/>
        <v>7</v>
      </c>
      <c r="I27">
        <f t="shared" si="3"/>
        <v>8</v>
      </c>
      <c r="J27">
        <f t="shared" si="3"/>
        <v>9</v>
      </c>
      <c r="K27">
        <f t="shared" si="3"/>
        <v>10</v>
      </c>
      <c r="L27">
        <f t="shared" si="3"/>
        <v>11</v>
      </c>
      <c r="M27">
        <f t="shared" si="3"/>
        <v>12</v>
      </c>
      <c r="N27">
        <f t="shared" si="3"/>
        <v>13</v>
      </c>
      <c r="O27">
        <f t="shared" si="3"/>
        <v>14</v>
      </c>
      <c r="P27">
        <f t="shared" si="3"/>
        <v>15</v>
      </c>
      <c r="Q27">
        <f t="shared" si="3"/>
        <v>16</v>
      </c>
      <c r="R27">
        <f t="shared" si="3"/>
        <v>17</v>
      </c>
      <c r="S27">
        <f t="shared" si="3"/>
        <v>18</v>
      </c>
      <c r="T27">
        <f t="shared" si="3"/>
        <v>19</v>
      </c>
      <c r="U27">
        <f t="shared" si="3"/>
        <v>20</v>
      </c>
    </row>
    <row r="28" spans="1:21" x14ac:dyDescent="0.15">
      <c r="A28" s="4">
        <v>2</v>
      </c>
      <c r="C28">
        <f t="shared" si="3"/>
        <v>4</v>
      </c>
      <c r="D28">
        <f t="shared" si="3"/>
        <v>6</v>
      </c>
      <c r="E28">
        <f t="shared" si="3"/>
        <v>8</v>
      </c>
      <c r="F28">
        <f t="shared" si="3"/>
        <v>10</v>
      </c>
      <c r="G28">
        <f t="shared" si="3"/>
        <v>12</v>
      </c>
      <c r="H28">
        <f t="shared" si="3"/>
        <v>14</v>
      </c>
      <c r="I28">
        <f t="shared" si="3"/>
        <v>16</v>
      </c>
      <c r="J28">
        <f t="shared" si="3"/>
        <v>18</v>
      </c>
      <c r="K28">
        <f t="shared" si="3"/>
        <v>20</v>
      </c>
      <c r="L28">
        <f t="shared" si="3"/>
        <v>22</v>
      </c>
      <c r="M28">
        <f t="shared" si="3"/>
        <v>24</v>
      </c>
      <c r="N28">
        <f t="shared" si="3"/>
        <v>26</v>
      </c>
      <c r="O28">
        <f t="shared" si="3"/>
        <v>28</v>
      </c>
      <c r="P28">
        <f t="shared" si="3"/>
        <v>30</v>
      </c>
      <c r="Q28">
        <f t="shared" si="3"/>
        <v>32</v>
      </c>
      <c r="R28">
        <f t="shared" si="3"/>
        <v>34</v>
      </c>
      <c r="S28">
        <f t="shared" si="3"/>
        <v>36</v>
      </c>
      <c r="T28">
        <f t="shared" si="3"/>
        <v>38</v>
      </c>
      <c r="U28">
        <f t="shared" si="3"/>
        <v>40</v>
      </c>
    </row>
    <row r="29" spans="1:21" x14ac:dyDescent="0.15">
      <c r="A29" s="4">
        <v>3</v>
      </c>
      <c r="D29">
        <f t="shared" si="3"/>
        <v>9</v>
      </c>
      <c r="E29">
        <f t="shared" si="3"/>
        <v>12</v>
      </c>
      <c r="F29">
        <f t="shared" si="3"/>
        <v>15</v>
      </c>
      <c r="G29">
        <f t="shared" si="3"/>
        <v>18</v>
      </c>
      <c r="H29">
        <f t="shared" si="3"/>
        <v>21</v>
      </c>
      <c r="I29">
        <f t="shared" si="3"/>
        <v>24</v>
      </c>
      <c r="J29">
        <f t="shared" si="3"/>
        <v>27</v>
      </c>
      <c r="K29">
        <f t="shared" si="3"/>
        <v>30</v>
      </c>
      <c r="L29">
        <f t="shared" si="3"/>
        <v>33</v>
      </c>
      <c r="M29">
        <f t="shared" si="3"/>
        <v>36</v>
      </c>
      <c r="N29">
        <f t="shared" si="3"/>
        <v>39</v>
      </c>
      <c r="O29">
        <f t="shared" si="3"/>
        <v>42</v>
      </c>
      <c r="P29">
        <f t="shared" si="3"/>
        <v>45</v>
      </c>
      <c r="Q29">
        <f t="shared" si="3"/>
        <v>48</v>
      </c>
      <c r="R29">
        <f t="shared" si="3"/>
        <v>51</v>
      </c>
      <c r="S29">
        <f t="shared" si="3"/>
        <v>54</v>
      </c>
      <c r="T29">
        <f t="shared" si="3"/>
        <v>57</v>
      </c>
      <c r="U29">
        <f t="shared" si="3"/>
        <v>60</v>
      </c>
    </row>
    <row r="30" spans="1:21" x14ac:dyDescent="0.15">
      <c r="A30" s="4">
        <v>4</v>
      </c>
      <c r="E30">
        <f t="shared" si="3"/>
        <v>16</v>
      </c>
      <c r="F30">
        <f t="shared" si="3"/>
        <v>20</v>
      </c>
      <c r="G30">
        <f t="shared" si="3"/>
        <v>24</v>
      </c>
      <c r="H30">
        <f t="shared" si="3"/>
        <v>28</v>
      </c>
      <c r="I30">
        <f t="shared" si="3"/>
        <v>32</v>
      </c>
      <c r="J30">
        <f t="shared" si="3"/>
        <v>36</v>
      </c>
      <c r="K30">
        <f t="shared" si="3"/>
        <v>40</v>
      </c>
      <c r="L30">
        <f t="shared" si="3"/>
        <v>44</v>
      </c>
      <c r="M30">
        <f t="shared" si="3"/>
        <v>48</v>
      </c>
      <c r="N30">
        <f t="shared" si="3"/>
        <v>52</v>
      </c>
      <c r="O30">
        <f t="shared" si="3"/>
        <v>56</v>
      </c>
      <c r="P30">
        <f t="shared" si="3"/>
        <v>60</v>
      </c>
      <c r="Q30">
        <f t="shared" si="3"/>
        <v>64</v>
      </c>
      <c r="R30">
        <f t="shared" si="3"/>
        <v>68</v>
      </c>
      <c r="S30">
        <f t="shared" si="3"/>
        <v>72</v>
      </c>
      <c r="T30">
        <f t="shared" si="3"/>
        <v>76</v>
      </c>
      <c r="U30">
        <f t="shared" si="3"/>
        <v>80</v>
      </c>
    </row>
    <row r="31" spans="1:21" x14ac:dyDescent="0.15">
      <c r="A31" s="4">
        <v>5</v>
      </c>
      <c r="F31">
        <f t="shared" si="3"/>
        <v>25</v>
      </c>
      <c r="G31">
        <f t="shared" si="3"/>
        <v>30</v>
      </c>
      <c r="H31">
        <f t="shared" si="3"/>
        <v>35</v>
      </c>
      <c r="I31">
        <f t="shared" si="3"/>
        <v>40</v>
      </c>
      <c r="J31">
        <f t="shared" si="3"/>
        <v>45</v>
      </c>
      <c r="K31">
        <f t="shared" si="3"/>
        <v>50</v>
      </c>
      <c r="L31">
        <f t="shared" si="3"/>
        <v>55</v>
      </c>
      <c r="M31">
        <f t="shared" si="3"/>
        <v>60</v>
      </c>
      <c r="N31">
        <f t="shared" si="3"/>
        <v>65</v>
      </c>
      <c r="O31">
        <f t="shared" si="3"/>
        <v>70</v>
      </c>
      <c r="P31">
        <f t="shared" si="3"/>
        <v>75</v>
      </c>
      <c r="Q31">
        <f t="shared" si="3"/>
        <v>80</v>
      </c>
      <c r="R31">
        <f t="shared" si="3"/>
        <v>85</v>
      </c>
      <c r="S31">
        <f t="shared" si="3"/>
        <v>90</v>
      </c>
      <c r="T31">
        <f t="shared" si="3"/>
        <v>95</v>
      </c>
      <c r="U31">
        <f t="shared" si="3"/>
        <v>100</v>
      </c>
    </row>
    <row r="32" spans="1:21" x14ac:dyDescent="0.15">
      <c r="A32" s="4">
        <v>6</v>
      </c>
      <c r="G32">
        <f t="shared" si="3"/>
        <v>36</v>
      </c>
      <c r="H32">
        <f t="shared" si="3"/>
        <v>42</v>
      </c>
      <c r="I32">
        <f t="shared" si="3"/>
        <v>48</v>
      </c>
      <c r="J32">
        <f t="shared" si="3"/>
        <v>54</v>
      </c>
      <c r="K32">
        <f t="shared" si="3"/>
        <v>60</v>
      </c>
      <c r="L32">
        <f t="shared" si="3"/>
        <v>66</v>
      </c>
      <c r="M32">
        <f t="shared" si="3"/>
        <v>72</v>
      </c>
      <c r="N32">
        <f t="shared" si="3"/>
        <v>78</v>
      </c>
      <c r="O32">
        <f t="shared" si="3"/>
        <v>84</v>
      </c>
      <c r="P32">
        <f t="shared" si="3"/>
        <v>90</v>
      </c>
      <c r="Q32">
        <f t="shared" si="3"/>
        <v>96</v>
      </c>
      <c r="R32">
        <f t="shared" si="3"/>
        <v>102</v>
      </c>
      <c r="S32">
        <f t="shared" si="3"/>
        <v>108</v>
      </c>
      <c r="T32">
        <f t="shared" si="3"/>
        <v>114</v>
      </c>
      <c r="U32">
        <f t="shared" si="3"/>
        <v>120</v>
      </c>
    </row>
    <row r="33" spans="1:21" x14ac:dyDescent="0.15">
      <c r="A33" s="4">
        <v>7</v>
      </c>
      <c r="H33">
        <f t="shared" si="3"/>
        <v>49</v>
      </c>
      <c r="I33">
        <f t="shared" si="3"/>
        <v>56</v>
      </c>
      <c r="J33">
        <f t="shared" si="3"/>
        <v>63</v>
      </c>
      <c r="K33">
        <f t="shared" si="3"/>
        <v>70</v>
      </c>
      <c r="L33">
        <f t="shared" si="3"/>
        <v>77</v>
      </c>
      <c r="M33">
        <f t="shared" si="3"/>
        <v>84</v>
      </c>
      <c r="N33">
        <f t="shared" si="3"/>
        <v>91</v>
      </c>
      <c r="O33">
        <f t="shared" si="3"/>
        <v>98</v>
      </c>
      <c r="P33">
        <f t="shared" si="3"/>
        <v>105</v>
      </c>
      <c r="Q33">
        <f t="shared" si="3"/>
        <v>112</v>
      </c>
      <c r="R33">
        <f t="shared" si="3"/>
        <v>119</v>
      </c>
      <c r="S33">
        <f t="shared" si="3"/>
        <v>126</v>
      </c>
      <c r="T33">
        <f t="shared" si="3"/>
        <v>133</v>
      </c>
      <c r="U33">
        <f t="shared" si="3"/>
        <v>140</v>
      </c>
    </row>
    <row r="34" spans="1:21" x14ac:dyDescent="0.15">
      <c r="A34" s="4">
        <v>8</v>
      </c>
      <c r="I34">
        <f t="shared" si="3"/>
        <v>64</v>
      </c>
      <c r="J34">
        <f t="shared" si="3"/>
        <v>72</v>
      </c>
      <c r="K34">
        <f t="shared" si="3"/>
        <v>80</v>
      </c>
      <c r="L34">
        <f t="shared" si="3"/>
        <v>88</v>
      </c>
      <c r="M34">
        <f t="shared" si="3"/>
        <v>96</v>
      </c>
      <c r="N34">
        <f t="shared" si="3"/>
        <v>104</v>
      </c>
      <c r="O34">
        <f t="shared" si="3"/>
        <v>112</v>
      </c>
      <c r="P34">
        <f t="shared" si="3"/>
        <v>120</v>
      </c>
      <c r="Q34">
        <f t="shared" si="3"/>
        <v>128</v>
      </c>
      <c r="R34">
        <f t="shared" si="3"/>
        <v>136</v>
      </c>
      <c r="S34">
        <f t="shared" si="3"/>
        <v>144</v>
      </c>
      <c r="T34">
        <f t="shared" si="3"/>
        <v>152</v>
      </c>
      <c r="U34">
        <f t="shared" si="3"/>
        <v>160</v>
      </c>
    </row>
    <row r="35" spans="1:21" x14ac:dyDescent="0.15">
      <c r="A35" s="4">
        <v>9</v>
      </c>
      <c r="J35">
        <f t="shared" si="3"/>
        <v>81</v>
      </c>
      <c r="K35">
        <f t="shared" si="3"/>
        <v>90</v>
      </c>
      <c r="L35">
        <f t="shared" si="3"/>
        <v>99</v>
      </c>
      <c r="M35">
        <f t="shared" si="3"/>
        <v>108</v>
      </c>
      <c r="N35">
        <f t="shared" si="3"/>
        <v>117</v>
      </c>
      <c r="O35">
        <f t="shared" si="3"/>
        <v>126</v>
      </c>
      <c r="P35">
        <f t="shared" si="3"/>
        <v>135</v>
      </c>
      <c r="Q35">
        <f t="shared" si="3"/>
        <v>144</v>
      </c>
      <c r="R35">
        <f t="shared" si="3"/>
        <v>153</v>
      </c>
      <c r="S35">
        <f t="shared" si="3"/>
        <v>162</v>
      </c>
      <c r="T35">
        <f t="shared" si="3"/>
        <v>171</v>
      </c>
      <c r="U35">
        <f t="shared" si="3"/>
        <v>180</v>
      </c>
    </row>
    <row r="36" spans="1:21" x14ac:dyDescent="0.15">
      <c r="A36" s="4">
        <v>10</v>
      </c>
      <c r="K36">
        <f t="shared" si="3"/>
        <v>100</v>
      </c>
      <c r="L36">
        <f t="shared" si="3"/>
        <v>110</v>
      </c>
      <c r="M36">
        <f t="shared" si="3"/>
        <v>120</v>
      </c>
      <c r="N36">
        <f t="shared" si="3"/>
        <v>130</v>
      </c>
      <c r="O36">
        <f t="shared" si="3"/>
        <v>140</v>
      </c>
      <c r="P36">
        <f t="shared" si="3"/>
        <v>150</v>
      </c>
      <c r="Q36">
        <f t="shared" si="3"/>
        <v>160</v>
      </c>
      <c r="R36">
        <f t="shared" si="3"/>
        <v>170</v>
      </c>
      <c r="S36">
        <f t="shared" si="3"/>
        <v>180</v>
      </c>
      <c r="T36">
        <f t="shared" si="3"/>
        <v>190</v>
      </c>
      <c r="U36">
        <f t="shared" si="3"/>
        <v>200</v>
      </c>
    </row>
    <row r="37" spans="1:21" x14ac:dyDescent="0.15">
      <c r="A37" s="4">
        <v>11</v>
      </c>
      <c r="L37">
        <f t="shared" si="3"/>
        <v>121</v>
      </c>
      <c r="M37">
        <f t="shared" si="3"/>
        <v>132</v>
      </c>
      <c r="N37">
        <f t="shared" si="3"/>
        <v>143</v>
      </c>
      <c r="O37">
        <f t="shared" si="3"/>
        <v>154</v>
      </c>
      <c r="P37">
        <f t="shared" si="3"/>
        <v>165</v>
      </c>
      <c r="Q37">
        <f t="shared" si="3"/>
        <v>176</v>
      </c>
      <c r="R37">
        <f t="shared" si="3"/>
        <v>187</v>
      </c>
      <c r="S37">
        <f t="shared" si="3"/>
        <v>198</v>
      </c>
      <c r="T37">
        <f t="shared" si="3"/>
        <v>209</v>
      </c>
      <c r="U37">
        <f t="shared" si="3"/>
        <v>220</v>
      </c>
    </row>
    <row r="38" spans="1:21" x14ac:dyDescent="0.15">
      <c r="A38" s="4">
        <v>12</v>
      </c>
      <c r="M38">
        <f t="shared" si="3"/>
        <v>144</v>
      </c>
      <c r="N38">
        <f t="shared" si="3"/>
        <v>156</v>
      </c>
      <c r="O38">
        <f t="shared" si="3"/>
        <v>168</v>
      </c>
      <c r="P38">
        <f t="shared" si="3"/>
        <v>180</v>
      </c>
      <c r="Q38">
        <f t="shared" si="3"/>
        <v>192</v>
      </c>
      <c r="R38">
        <f t="shared" si="3"/>
        <v>204</v>
      </c>
      <c r="S38">
        <f t="shared" si="3"/>
        <v>216</v>
      </c>
      <c r="T38">
        <f t="shared" si="3"/>
        <v>228</v>
      </c>
      <c r="U38">
        <f t="shared" si="3"/>
        <v>240</v>
      </c>
    </row>
    <row r="39" spans="1:21" x14ac:dyDescent="0.15">
      <c r="A39" s="4">
        <v>13</v>
      </c>
      <c r="N39">
        <f t="shared" si="3"/>
        <v>169</v>
      </c>
      <c r="O39">
        <f t="shared" si="3"/>
        <v>182</v>
      </c>
      <c r="P39">
        <f t="shared" si="3"/>
        <v>195</v>
      </c>
      <c r="Q39">
        <f t="shared" si="3"/>
        <v>208</v>
      </c>
      <c r="R39">
        <f t="shared" si="3"/>
        <v>221</v>
      </c>
      <c r="S39">
        <f t="shared" si="3"/>
        <v>234</v>
      </c>
      <c r="T39">
        <f t="shared" si="3"/>
        <v>247</v>
      </c>
      <c r="U39">
        <f t="shared" si="3"/>
        <v>260</v>
      </c>
    </row>
    <row r="40" spans="1:21" x14ac:dyDescent="0.15">
      <c r="A40" s="4">
        <v>14</v>
      </c>
      <c r="O40">
        <f t="shared" ref="O40:U43" si="4">$A40*O$26</f>
        <v>196</v>
      </c>
      <c r="P40">
        <f t="shared" si="4"/>
        <v>210</v>
      </c>
      <c r="Q40">
        <f t="shared" si="4"/>
        <v>224</v>
      </c>
      <c r="R40">
        <f t="shared" si="4"/>
        <v>238</v>
      </c>
      <c r="S40">
        <f t="shared" si="4"/>
        <v>252</v>
      </c>
      <c r="T40">
        <f t="shared" si="4"/>
        <v>266</v>
      </c>
      <c r="U40">
        <f t="shared" si="4"/>
        <v>280</v>
      </c>
    </row>
    <row r="41" spans="1:21" x14ac:dyDescent="0.15">
      <c r="A41" s="4">
        <v>15</v>
      </c>
      <c r="P41">
        <f t="shared" ref="P41:Q42" si="5">$A41*P$26</f>
        <v>225</v>
      </c>
      <c r="Q41">
        <f t="shared" si="5"/>
        <v>240</v>
      </c>
      <c r="R41">
        <f t="shared" si="4"/>
        <v>255</v>
      </c>
      <c r="S41">
        <f t="shared" si="4"/>
        <v>270</v>
      </c>
      <c r="T41">
        <f t="shared" si="4"/>
        <v>285</v>
      </c>
      <c r="U41">
        <f t="shared" si="4"/>
        <v>300</v>
      </c>
    </row>
    <row r="42" spans="1:21" x14ac:dyDescent="0.15">
      <c r="A42" s="4">
        <v>16</v>
      </c>
      <c r="Q42">
        <f t="shared" si="5"/>
        <v>256</v>
      </c>
      <c r="R42">
        <f t="shared" si="4"/>
        <v>272</v>
      </c>
      <c r="S42">
        <f t="shared" si="4"/>
        <v>288</v>
      </c>
      <c r="T42">
        <f t="shared" si="4"/>
        <v>304</v>
      </c>
      <c r="U42">
        <f t="shared" si="4"/>
        <v>320</v>
      </c>
    </row>
    <row r="43" spans="1:21" x14ac:dyDescent="0.15">
      <c r="A43" s="4">
        <v>17</v>
      </c>
      <c r="R43">
        <f t="shared" si="4"/>
        <v>289</v>
      </c>
      <c r="S43">
        <f t="shared" si="4"/>
        <v>306</v>
      </c>
    </row>
    <row r="44" spans="1:21" x14ac:dyDescent="0.15">
      <c r="A44" s="4">
        <v>18</v>
      </c>
    </row>
    <row r="45" spans="1:21" x14ac:dyDescent="0.15">
      <c r="A45" s="4">
        <v>19</v>
      </c>
    </row>
    <row r="46" spans="1:21" x14ac:dyDescent="0.15">
      <c r="A46" s="4">
        <v>20</v>
      </c>
    </row>
  </sheetData>
  <sortState ref="A18:D26">
    <sortCondition ref="A18:A26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图表</vt:lpstr>
      <vt:lpstr>函数</vt:lpstr>
      <vt:lpstr>收益</vt:lpstr>
      <vt:lpstr>格式路径</vt:lpstr>
      <vt:lpstr>rotate</vt:lpstr>
      <vt:lpstr>temp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2020-03-03T02:07:31Z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9776bade-04ce-4152-add0-cf2e641072f9</vt:lpwstr>
  </property>
</Properties>
</file>