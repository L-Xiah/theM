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5"/>
  </bookViews>
  <sheets>
    <sheet name="图表" sheetId="1" r:id="rId1"/>
    <sheet name="函数" sheetId="3" r:id="rId2"/>
    <sheet name="收益" sheetId="17" r:id="rId3"/>
    <sheet name="利率" sheetId="21" r:id="rId4"/>
    <sheet name="格式路径" sheetId="10" r:id="rId5"/>
    <sheet name="时间" sheetId="22" r:id="rId6"/>
    <sheet name="rotate" sheetId="16" r:id="rId7"/>
    <sheet name="temp" sheetId="13" r:id="rId8"/>
    <sheet name="Sheet1" sheetId="15" r:id="rId9"/>
    <sheet name="Sheet2" sheetId="20" r:id="rId10"/>
  </sheets>
  <calcPr calcId="162913"/>
</workbook>
</file>

<file path=xl/calcChain.xml><?xml version="1.0" encoding="utf-8"?>
<calcChain xmlns="http://schemas.openxmlformats.org/spreadsheetml/2006/main">
  <c r="B1" i="22" l="1"/>
  <c r="K26" i="17" l="1"/>
  <c r="P36" i="17" l="1"/>
  <c r="N36" i="17"/>
  <c r="O31" i="17"/>
  <c r="O32" i="17"/>
  <c r="O33" i="17" s="1"/>
  <c r="O34" i="17" s="1"/>
  <c r="O30" i="17"/>
  <c r="O29" i="17"/>
  <c r="P17" i="17" l="1"/>
  <c r="P15" i="17"/>
  <c r="O15" i="17"/>
  <c r="P4" i="17"/>
  <c r="P5" i="17"/>
  <c r="P6" i="17"/>
  <c r="P7" i="17"/>
  <c r="P8" i="17"/>
  <c r="P9" i="17"/>
  <c r="P10" i="17"/>
  <c r="P11" i="17"/>
  <c r="P12" i="17"/>
  <c r="P3" i="17"/>
  <c r="O14" i="17"/>
  <c r="O8" i="17"/>
  <c r="O9" i="17" s="1"/>
  <c r="O10" i="17" s="1"/>
  <c r="O11" i="17" s="1"/>
  <c r="O12" i="17" s="1"/>
  <c r="O3" i="17" l="1"/>
  <c r="O4" i="17" s="1"/>
  <c r="O5" i="17" s="1"/>
  <c r="O6" i="17" s="1"/>
  <c r="O7" i="17" s="1"/>
  <c r="K8" i="17" l="1"/>
  <c r="D12" i="21" l="1"/>
  <c r="D13" i="21" s="1"/>
  <c r="L9" i="21"/>
  <c r="L13" i="21" s="1"/>
  <c r="O11" i="21" s="1"/>
  <c r="R11" i="21" l="1"/>
  <c r="T11" i="21" s="1"/>
  <c r="P11" i="21"/>
  <c r="L20" i="15" l="1"/>
  <c r="L21" i="15"/>
  <c r="L22" i="15"/>
  <c r="L23" i="15"/>
  <c r="L19" i="15"/>
  <c r="L18" i="15"/>
  <c r="D68" i="13" l="1"/>
  <c r="D65" i="13"/>
  <c r="D54" i="13"/>
  <c r="B26" i="17" l="1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<sst xmlns="http://schemas.openxmlformats.org/spreadsheetml/2006/main" count="162" uniqueCount="128">
  <si>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</si>
  <si>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</si>
  <si>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</si>
  <si>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</si>
  <si>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</si>
  <si>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</si>
  <si>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</si>
  <si>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</si>
  <si>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</si>
  <si>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</si>
  <si>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</si>
  <si>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</si>
  <si>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</si>
  <si>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</si>
  <si>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</si>
  <si>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</si>
  <si>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</si>
  <si>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</si>
  <si>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</si>
  <si>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</si>
  <si>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</si>
  <si>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</si>
  <si>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</si>
  <si>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</si>
  <si>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</si>
  <si>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</si>
  <si>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</si>
  <si>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</si>
  <si>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</si>
  <si>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</si>
  <si>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</si>
  <si>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</si>
  <si>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</si>
  <si>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</si>
  <si>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</si>
  <si>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</si>
  <si>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</si>
  <si>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</si>
  <si>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序号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</si>
  <si>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</si>
  <si>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</si>
  <si>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</si>
  <si>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</si>
  <si>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</si>
  <si>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</si>
  <si>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</si>
  <si>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</si>
  <si>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</si>
  <si>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</si>
  <si>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</si>
  <si>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</si>
  <si>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</si>
  <si>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</si>
  <si>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</si>
  <si>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</si>
  <si>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</si>
  <si>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</si>
  <si>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</si>
  <si>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</si>
  <si>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</si>
  <si>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</si>
  <si>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</si>
  <si>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</si>
  <si>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</si>
  <si>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</si>
  <si>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</si>
  <si>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</si>
  <si>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</si>
  <si>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</si>
  <si>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</si>
  <si>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</si>
  <si>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</si>
  <si>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</si>
  <si>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</si>
  <si>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</si>
  <si>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</si>
  <si>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</si>
  <si>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</si>
  <si>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</si>
  <si>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</si>
  <si>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</si>
  <si>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</si>
  <si>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</si>
  <si>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</si>
  <si>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</si>
  <si>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</si>
  <si>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</si>
  <si>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</si>
  <si>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</si>
  <si>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</si>
  <si>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</si>
  <si>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</si>
  <si>
    <t>1&gt;</t>
    <phoneticPr fontId="1" type="noConversion"/>
  </si>
  <si>
    <t>2&gt;</t>
    <phoneticPr fontId="1" type="noConversion"/>
  </si>
  <si>
    <t>1&gt;+2&gt;</t>
    <phoneticPr fontId="1" type="noConversion"/>
  </si>
  <si>
    <t>134-TECH-QR-A</t>
  </si>
  <si>
    <t>(Left(g_csUserName, 8) = "</t>
    <phoneticPr fontId="1" type="noConversion"/>
  </si>
  <si>
    <t xml:space="preserve">" And Left(g_csComputerName, </t>
    <phoneticPr fontId="1" type="noConversion"/>
  </si>
  <si>
    <t>) = "</t>
    <phoneticPr fontId="1" type="noConversion"/>
  </si>
  <si>
    <t xml:space="preserve">") Or _ </t>
    <phoneticPr fontId="1" type="noConversion"/>
  </si>
  <si>
    <t>134-DESI-LL-A</t>
  </si>
  <si>
    <t>135-DESI-LLd-A</t>
    <phoneticPr fontId="1" type="noConversion"/>
  </si>
  <si>
    <t>136-DESI-vcLL-A</t>
    <phoneticPr fontId="1" type="noConversion"/>
  </si>
  <si>
    <t>工号</t>
    <phoneticPr fontId="1" type="noConversion"/>
  </si>
  <si>
    <t>计算机名</t>
    <phoneticPr fontId="1" type="noConversion"/>
  </si>
  <si>
    <t>代码</t>
    <phoneticPr fontId="1" type="noConversion"/>
  </si>
  <si>
    <t>$</t>
    <phoneticPr fontId="1" type="noConversion"/>
  </si>
  <si>
    <t>提前</t>
    <phoneticPr fontId="1" type="noConversion"/>
  </si>
  <si>
    <t>总还</t>
    <phoneticPr fontId="1" type="noConversion"/>
  </si>
  <si>
    <t>剩余</t>
    <phoneticPr fontId="1" type="noConversion"/>
  </si>
  <si>
    <t>提前</t>
    <phoneticPr fontId="1" type="noConversion"/>
  </si>
  <si>
    <t>利率</t>
    <phoneticPr fontId="1" type="noConversion"/>
  </si>
  <si>
    <t>N（月数）</t>
    <phoneticPr fontId="1" type="noConversion"/>
  </si>
  <si>
    <t>剩余每月还贷</t>
    <phoneticPr fontId="1" type="noConversion"/>
  </si>
  <si>
    <t>--</t>
    <phoneticPr fontId="1" type="noConversion"/>
  </si>
  <si>
    <r>
      <rPr>
        <sz val="11"/>
        <color theme="1"/>
        <rFont val="宋体"/>
        <family val="3"/>
        <charset val="134"/>
      </rPr>
      <t>∽</t>
    </r>
    <r>
      <rPr>
        <sz val="11"/>
        <color theme="1"/>
        <rFont val="宋体"/>
        <family val="2"/>
        <scheme val="minor"/>
      </rPr>
      <t>53</t>
    </r>
    <phoneticPr fontId="1" type="noConversion"/>
  </si>
  <si>
    <t>21b</t>
    <phoneticPr fontId="1" type="noConversion"/>
  </si>
  <si>
    <t>贷款额</t>
    <phoneticPr fontId="1" type="noConversion"/>
  </si>
  <si>
    <t>每期还款</t>
    <phoneticPr fontId="1" type="noConversion"/>
  </si>
  <si>
    <t>折合每期利息</t>
    <phoneticPr fontId="1" type="noConversion"/>
  </si>
  <si>
    <t>g</t>
    <phoneticPr fontId="1" type="noConversion"/>
  </si>
  <si>
    <t>r</t>
    <phoneticPr fontId="1" type="noConversion"/>
  </si>
  <si>
    <t>内在</t>
    <phoneticPr fontId="1" type="noConversion"/>
  </si>
  <si>
    <t>自由现金流折现计算</t>
    <phoneticPr fontId="1" type="noConversion"/>
  </si>
  <si>
    <t>r0</t>
    <phoneticPr fontId="1" type="noConversion"/>
  </si>
  <si>
    <t>CF0</t>
    <phoneticPr fontId="1" type="noConversion"/>
  </si>
  <si>
    <t>永续（CF10/（r-g））</t>
    <phoneticPr fontId="1" type="noConversion"/>
  </si>
  <si>
    <t>累进利率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</si>
</sst>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%"/>
    <numFmt numFmtId="177" formatCode="0.00_ "/>
    <numFmt numFmtId="187" formatCode="yyyy/m/d\ hh:mm:ss"/>
  </numFmts>
  <fonts count="8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等线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444444"/>
      <name val="SimSun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/>
    <xf numFmtId="10" fontId="0" fillId="0" borderId="0" xfId="0" applyNumberFormat="1"/>
    <xf numFmtId="2" fontId="0" fillId="0" borderId="0" xfId="0" applyNumberFormat="1" applyFill="1"/>
    <xf numFmtId="177" fontId="0" fillId="0" borderId="0" xfId="0" applyNumberFormat="1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9" fontId="0" fillId="0" borderId="0" xfId="0" applyNumberFormat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center"/>
    </xf>
    <xf numFmtId="20" fontId="0" fillId="0" borderId="0" xfId="0" applyNumberFormat="1"/>
    <xf numFmtId="20" fontId="4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0" xfId="2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7" fillId="0" borderId="0" xfId="0" applyFont="1"/>
    <xf numFmtId="187" fontId="0" fillId="0" borderId="0" xfId="0" applyNumberFormat="1"/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428626</xdr:colOff>
      <xdr:row>0</xdr:row>
      <xdr:rowOff>38100</xdr:rowOff>
    </xdr:from>
    <xdr:to>
      <xdr:col>15</xdr:col>
      <xdr:colOff>276225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topLeftCell="A6" workbookViewId="0">
      <selection activeCell="L28" sqref="L28"/>
    </sheetView>
  </sheetViews>
  <sheetFormatPr defaultRowHeight="13.5"/>
  <cols>
    <col min="3" max="3" width="12.25" customWidth="1"/>
    <col min="4" max="4" width="12.375" customWidth="1"/>
  </cols>
  <sheetData>
    <row r="2" spans="1:12">
      <c r="B2" s="1" t="s">
        <v>7</v>
      </c>
      <c r="C2" t="s">
        <v>5</v>
      </c>
      <c r="D2" t="s">
        <v>6</v>
      </c>
    </row>
    <row r="3" spans="1:12">
      <c r="A3" s="45" t="s">
        <v>0</v>
      </c>
      <c r="B3" s="46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39</v>
      </c>
      <c r="L3">
        <v>1547.3</v>
      </c>
    </row>
    <row r="4" spans="1:12">
      <c r="A4" s="45"/>
      <c r="B4" s="45"/>
      <c r="F4">
        <v>5</v>
      </c>
      <c r="G4">
        <f>F4*60</f>
        <v>300</v>
      </c>
      <c r="H4">
        <f>G4*60</f>
        <v>18000</v>
      </c>
      <c r="K4" t="s">
        <v>40</v>
      </c>
      <c r="L4">
        <v>1678.9</v>
      </c>
    </row>
    <row r="5" spans="1:12">
      <c r="A5" s="45" t="s">
        <v>1</v>
      </c>
      <c r="B5" s="45"/>
      <c r="C5" t="s">
        <v>8</v>
      </c>
      <c r="D5" t="s">
        <v>8</v>
      </c>
      <c r="K5" t="s">
        <v>41</v>
      </c>
      <c r="L5">
        <v>1932.7</v>
      </c>
    </row>
    <row r="6" spans="1:12">
      <c r="A6" s="45"/>
      <c r="B6" s="45"/>
      <c r="K6" t="s">
        <v>42</v>
      </c>
      <c r="L6">
        <v>2046.5</v>
      </c>
    </row>
    <row r="7" spans="1:12">
      <c r="A7" s="45" t="s">
        <v>2</v>
      </c>
      <c r="B7" s="45"/>
      <c r="C7" t="s">
        <v>9</v>
      </c>
      <c r="D7" t="s">
        <v>9</v>
      </c>
      <c r="K7" t="s">
        <v>43</v>
      </c>
      <c r="L7">
        <v>1809.3</v>
      </c>
    </row>
    <row r="8" spans="1:12">
      <c r="A8" s="45"/>
      <c r="B8" s="45"/>
      <c r="K8" t="s">
        <v>44</v>
      </c>
      <c r="L8">
        <v>1903.2</v>
      </c>
    </row>
    <row r="9" spans="1:12">
      <c r="A9" s="45" t="s">
        <v>0</v>
      </c>
      <c r="B9" s="47" t="s">
        <v>15</v>
      </c>
      <c r="C9" t="s">
        <v>3</v>
      </c>
      <c r="D9" t="s">
        <v>11</v>
      </c>
      <c r="K9" t="s">
        <v>45</v>
      </c>
      <c r="L9">
        <v>1745.8</v>
      </c>
    </row>
    <row r="10" spans="1:12">
      <c r="A10" s="45"/>
      <c r="B10" s="45"/>
      <c r="C10" t="s">
        <v>10</v>
      </c>
      <c r="K10" t="s">
        <v>46</v>
      </c>
      <c r="L10">
        <v>2540.8000000000002</v>
      </c>
    </row>
    <row r="11" spans="1:12">
      <c r="A11" s="45" t="s">
        <v>1</v>
      </c>
      <c r="B11" s="45"/>
      <c r="C11" t="s">
        <v>8</v>
      </c>
      <c r="D11" t="s">
        <v>8</v>
      </c>
      <c r="K11" t="s">
        <v>47</v>
      </c>
      <c r="L11">
        <v>2213.4</v>
      </c>
    </row>
    <row r="12" spans="1:12">
      <c r="A12" s="45"/>
      <c r="B12" s="45"/>
      <c r="K12" t="s">
        <v>48</v>
      </c>
      <c r="L12">
        <v>2108.5</v>
      </c>
    </row>
    <row r="13" spans="1:12">
      <c r="A13" s="45" t="s">
        <v>2</v>
      </c>
      <c r="B13" s="45"/>
      <c r="C13" t="s">
        <v>12</v>
      </c>
      <c r="D13" t="s">
        <v>13</v>
      </c>
      <c r="K13" t="s">
        <v>49</v>
      </c>
      <c r="L13">
        <v>1945.3</v>
      </c>
    </row>
    <row r="14" spans="1:12">
      <c r="A14" s="45"/>
      <c r="B14" s="45"/>
      <c r="K14" t="s">
        <v>50</v>
      </c>
      <c r="L14">
        <v>2315.6999999999998</v>
      </c>
    </row>
    <row r="15" spans="1:12">
      <c r="A15" s="45" t="s">
        <v>0</v>
      </c>
      <c r="B15" s="46" t="s">
        <v>16</v>
      </c>
      <c r="C15" t="s">
        <v>19</v>
      </c>
      <c r="D15" t="s">
        <v>20</v>
      </c>
    </row>
    <row r="16" spans="1:12">
      <c r="A16" s="45"/>
      <c r="B16" s="45"/>
      <c r="C16" t="s">
        <v>10</v>
      </c>
    </row>
    <row r="17" spans="1:12">
      <c r="A17" s="45" t="s">
        <v>1</v>
      </c>
      <c r="B17" s="45"/>
      <c r="C17" t="s">
        <v>18</v>
      </c>
      <c r="D17" t="s">
        <v>18</v>
      </c>
      <c r="K17" t="s">
        <v>51</v>
      </c>
      <c r="L17">
        <f>SUM(L3:L14)</f>
        <v>23787.4</v>
      </c>
    </row>
    <row r="18" spans="1:12">
      <c r="A18" s="45"/>
      <c r="B18" s="45"/>
      <c r="K18" t="s">
        <v>52</v>
      </c>
      <c r="L18">
        <v>30000</v>
      </c>
    </row>
    <row r="19" spans="1:12">
      <c r="A19" s="45" t="s">
        <v>2</v>
      </c>
      <c r="B19" s="45"/>
      <c r="C19" t="s">
        <v>9</v>
      </c>
      <c r="D19" t="s">
        <v>9</v>
      </c>
    </row>
    <row r="20" spans="1:12">
      <c r="A20" s="45"/>
      <c r="B20" s="45"/>
      <c r="K20" t="s">
        <v>53</v>
      </c>
      <c r="L20">
        <f>L17/L18</f>
        <v>0.79291333333333336</v>
      </c>
    </row>
    <row r="21" spans="1:12">
      <c r="A21" s="45" t="s">
        <v>0</v>
      </c>
      <c r="B21" s="47" t="s">
        <v>17</v>
      </c>
      <c r="C21" t="s">
        <v>19</v>
      </c>
      <c r="D21" t="s">
        <v>22</v>
      </c>
    </row>
    <row r="22" spans="1:12">
      <c r="A22" s="45"/>
      <c r="B22" s="45"/>
      <c r="C22" t="s">
        <v>21</v>
      </c>
    </row>
    <row r="23" spans="1:12">
      <c r="A23" s="45" t="s">
        <v>1</v>
      </c>
      <c r="B23" s="45"/>
      <c r="C23" t="s">
        <v>18</v>
      </c>
      <c r="D23" t="s">
        <v>18</v>
      </c>
    </row>
    <row r="24" spans="1:12">
      <c r="A24" s="45"/>
      <c r="B24" s="45"/>
    </row>
    <row r="25" spans="1:12">
      <c r="A25" s="45" t="s">
        <v>2</v>
      </c>
      <c r="B25" s="45"/>
      <c r="C25" t="s">
        <v>12</v>
      </c>
      <c r="D25" t="s">
        <v>13</v>
      </c>
    </row>
    <row r="26" spans="1:12">
      <c r="A26" s="45"/>
      <c r="B26" s="45"/>
    </row>
    <row r="35" spans="1:2">
      <c r="A35">
        <v>1270</v>
      </c>
      <c r="B35">
        <v>1311</v>
      </c>
    </row>
    <row r="36" spans="1:2">
      <c r="A36">
        <v>1305</v>
      </c>
      <c r="B36">
        <v>1337</v>
      </c>
    </row>
    <row r="37" spans="1:2">
      <c r="A37">
        <v>1370</v>
      </c>
      <c r="B37">
        <v>1381</v>
      </c>
    </row>
    <row r="38" spans="1:2">
      <c r="A38">
        <v>1470</v>
      </c>
      <c r="B38">
        <v>1466</v>
      </c>
    </row>
    <row r="39" spans="1:2">
      <c r="A39">
        <v>1550</v>
      </c>
      <c r="B39">
        <v>1546</v>
      </c>
    </row>
  </sheetData>
  <mergeCells count="16">
    <mergeCell ref="A3:A4"/>
    <mergeCell ref="A5:A6"/>
    <mergeCell ref="A7:A8"/>
    <mergeCell ref="B3:B8"/>
    <mergeCell ref="B9:B14"/>
    <mergeCell ref="A9:A10"/>
    <mergeCell ref="A11:A12"/>
    <mergeCell ref="A13:A14"/>
    <mergeCell ref="A15:A16"/>
    <mergeCell ref="B15:B20"/>
    <mergeCell ref="A17:A18"/>
    <mergeCell ref="A19:A20"/>
    <mergeCell ref="A21:A22"/>
    <mergeCell ref="B21:B26"/>
    <mergeCell ref="A23:A24"/>
    <mergeCell ref="A25:A2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/>
  <cols>
    <col min="6" max="6" width="28.875" customWidth="1"/>
  </cols>
  <sheetData>
    <row r="1" spans="1:15">
      <c r="A1" t="s">
        <v>23</v>
      </c>
      <c r="F1" t="s">
        <v>26</v>
      </c>
      <c r="G1" t="s">
        <v>28</v>
      </c>
    </row>
    <row r="2" spans="1: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>
      <c r="A3" s="48" t="s">
        <v>29</v>
      </c>
      <c r="B3" s="48"/>
      <c r="C3" s="48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>
      <c r="A4" s="48"/>
      <c r="B4" s="48"/>
      <c r="C4" s="48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>
      <c r="A5" s="48"/>
      <c r="B5" s="48"/>
      <c r="C5" s="48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>
      <c r="A6" s="48"/>
      <c r="B6" s="48"/>
      <c r="C6" s="48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>
      <c r="A7" s="48"/>
      <c r="B7" s="48"/>
      <c r="C7" s="48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>
      <c r="A8" s="48"/>
      <c r="B8" s="48"/>
      <c r="C8" s="48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>
      <c r="A9" s="48"/>
      <c r="B9" s="48"/>
      <c r="C9" s="48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>
      <c r="A10" s="48"/>
      <c r="B10" s="48"/>
      <c r="C10" s="48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>
      <c r="A11" s="48"/>
      <c r="B11" s="48"/>
      <c r="C11" s="48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>
      <c r="A12" s="48"/>
      <c r="B12" s="48"/>
      <c r="C12" s="48"/>
    </row>
    <row r="13" spans="1:15">
      <c r="A13" s="48"/>
      <c r="B13" s="48"/>
      <c r="C13" s="48"/>
      <c r="D13">
        <f>SUMPRODUCT((E1:E9=D10)*(G1:G9=D11))</f>
        <v>0</v>
      </c>
    </row>
    <row r="14" spans="1:15">
      <c r="A14" s="48"/>
      <c r="B14" s="48"/>
      <c r="C14" s="48"/>
    </row>
    <row r="15" spans="1:15">
      <c r="A15" s="48"/>
      <c r="B15" s="48"/>
      <c r="C15" s="48"/>
      <c r="F15">
        <f>SUMPRODUCT((E2:E4=D10)*(F1:G1=D11),L8:M10)</f>
        <v>78</v>
      </c>
    </row>
    <row r="16" spans="1:15">
      <c r="A16" s="48"/>
      <c r="B16" s="48"/>
      <c r="C16" s="48"/>
    </row>
    <row r="18" spans="1:5">
      <c r="A18" s="48" t="s">
        <v>30</v>
      </c>
      <c r="B18" s="48"/>
      <c r="C18" s="48"/>
      <c r="D18">
        <f>SUMIF(E2:E4,D10,F2:F4)</f>
        <v>11</v>
      </c>
    </row>
    <row r="19" spans="1:5">
      <c r="A19" s="48"/>
      <c r="B19" s="48"/>
      <c r="C19" s="48"/>
      <c r="E19">
        <f>{1,0,1,0}*{1,0,1}</f>
        <v>1</v>
      </c>
    </row>
    <row r="23" spans="1:5">
      <c r="A23" t="s">
        <v>54</v>
      </c>
    </row>
    <row r="24" spans="1:5">
      <c r="A24">
        <v>102</v>
      </c>
      <c r="B24" t="str">
        <f>IF(A24&gt;=100,"大于100","小于100")</f>
        <v>大于100</v>
      </c>
    </row>
    <row r="26" spans="1:5">
      <c r="A26" t="s">
        <v>55</v>
      </c>
    </row>
    <row r="27" spans="1:5">
      <c r="B27">
        <f>ROW(A27)</f>
        <v>27</v>
      </c>
    </row>
    <row r="29" spans="1:5">
      <c r="A29" t="s">
        <v>56</v>
      </c>
    </row>
    <row r="30" spans="1:5">
      <c r="A30">
        <v>3.1415899999999999</v>
      </c>
      <c r="B30">
        <f>ROUND(A30,4)</f>
        <v>3.1415999999999999</v>
      </c>
    </row>
    <row r="34" spans="1:5">
      <c r="A34" s="2" t="s">
        <v>70</v>
      </c>
    </row>
    <row r="35" spans="1:5">
      <c r="A35">
        <v>1</v>
      </c>
      <c r="B35">
        <v>2</v>
      </c>
      <c r="C35">
        <v>3</v>
      </c>
      <c r="D35">
        <v>4</v>
      </c>
      <c r="E35">
        <v>5</v>
      </c>
    </row>
    <row r="36" spans="1:5">
      <c r="A36">
        <v>11</v>
      </c>
      <c r="B36">
        <v>12</v>
      </c>
      <c r="C36">
        <v>13</v>
      </c>
      <c r="D36">
        <v>14</v>
      </c>
      <c r="E36">
        <v>15</v>
      </c>
    </row>
    <row r="37" spans="1: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9"/>
  <sheetViews>
    <sheetView workbookViewId="0">
      <selection activeCell="J23" sqref="J23"/>
    </sheetView>
  </sheetViews>
  <sheetFormatPr defaultRowHeight="13.5"/>
  <cols>
    <col min="1" max="1" width="13.625" customWidth="1"/>
    <col min="10" max="10" width="14.75" customWidth="1"/>
  </cols>
  <sheetData>
    <row r="1" spans="1:18">
      <c r="O1" t="s">
        <v>125</v>
      </c>
      <c r="P1" t="s">
        <v>124</v>
      </c>
      <c r="Q1" t="s">
        <v>121</v>
      </c>
      <c r="R1" t="s">
        <v>120</v>
      </c>
    </row>
    <row r="2" spans="1:18">
      <c r="M2" s="45" t="s">
        <v>123</v>
      </c>
      <c r="O2">
        <v>336</v>
      </c>
      <c r="P2" s="43">
        <v>0.12</v>
      </c>
      <c r="Q2" s="43">
        <v>0.04</v>
      </c>
      <c r="R2" s="43">
        <v>0.08</v>
      </c>
    </row>
    <row r="3" spans="1:18">
      <c r="A3" t="s">
        <v>38</v>
      </c>
      <c r="B3" t="s">
        <v>90</v>
      </c>
      <c r="G3" t="s">
        <v>117</v>
      </c>
      <c r="H3">
        <v>-5000</v>
      </c>
      <c r="M3" s="45"/>
      <c r="N3">
        <v>0</v>
      </c>
      <c r="O3">
        <f>O2</f>
        <v>336</v>
      </c>
      <c r="P3">
        <f>O3/POWER(1+$R$2,N3+1)</f>
        <v>311.11111111111109</v>
      </c>
    </row>
    <row r="4" spans="1:18">
      <c r="A4">
        <v>1</v>
      </c>
      <c r="B4">
        <v>-50000</v>
      </c>
      <c r="G4" s="48" t="s">
        <v>118</v>
      </c>
      <c r="H4">
        <v>449.67</v>
      </c>
      <c r="M4" s="45"/>
      <c r="N4">
        <v>1</v>
      </c>
      <c r="O4">
        <f>O3*(1+$P$2)</f>
        <v>376.32000000000005</v>
      </c>
      <c r="P4">
        <f t="shared" ref="P4:P12" si="0">O4/POWER(1+$R$2,N4+1)</f>
        <v>322.63374485596711</v>
      </c>
    </row>
    <row r="5" spans="1:18">
      <c r="A5">
        <v>2</v>
      </c>
      <c r="B5">
        <v>0</v>
      </c>
      <c r="G5" s="48"/>
      <c r="H5">
        <v>449.67</v>
      </c>
      <c r="M5" s="45"/>
      <c r="N5">
        <v>2</v>
      </c>
      <c r="O5">
        <f>O4*(1+$P$2)</f>
        <v>421.47840000000008</v>
      </c>
      <c r="P5">
        <f t="shared" si="0"/>
        <v>334.58314281359549</v>
      </c>
    </row>
    <row r="6" spans="1:18">
      <c r="A6">
        <v>3</v>
      </c>
      <c r="B6">
        <v>0</v>
      </c>
      <c r="G6" s="48"/>
      <c r="H6">
        <v>449.67</v>
      </c>
      <c r="M6" s="45"/>
      <c r="N6">
        <v>3</v>
      </c>
      <c r="O6">
        <f t="shared" ref="O6:O12" si="1">O5*(1+$P$2)</f>
        <v>472.05580800000013</v>
      </c>
      <c r="P6">
        <f t="shared" si="0"/>
        <v>346.9751110659509</v>
      </c>
    </row>
    <row r="7" spans="1:18">
      <c r="A7">
        <v>4</v>
      </c>
      <c r="B7">
        <v>0</v>
      </c>
      <c r="G7" s="48"/>
      <c r="H7">
        <v>449.67</v>
      </c>
      <c r="M7" s="45"/>
      <c r="N7">
        <v>4</v>
      </c>
      <c r="O7">
        <f t="shared" si="1"/>
        <v>528.70250496000017</v>
      </c>
      <c r="P7">
        <f t="shared" si="0"/>
        <v>359.82604110543059</v>
      </c>
    </row>
    <row r="8" spans="1:18">
      <c r="A8">
        <v>5</v>
      </c>
      <c r="B8">
        <v>0</v>
      </c>
      <c r="G8" s="48"/>
      <c r="H8">
        <v>449.67</v>
      </c>
      <c r="J8" t="s">
        <v>119</v>
      </c>
      <c r="K8" s="20">
        <f>IRR(H3:H15)</f>
        <v>1.1926692736229372E-2</v>
      </c>
      <c r="M8" s="45"/>
      <c r="N8">
        <v>5</v>
      </c>
      <c r="O8">
        <f t="shared" si="1"/>
        <v>592.14680555520022</v>
      </c>
      <c r="P8">
        <f t="shared" si="0"/>
        <v>373.1529315167428</v>
      </c>
    </row>
    <row r="9" spans="1:18">
      <c r="A9">
        <v>6</v>
      </c>
      <c r="B9">
        <v>0</v>
      </c>
      <c r="G9" s="48"/>
      <c r="H9">
        <v>449.67</v>
      </c>
      <c r="M9" s="45"/>
      <c r="N9">
        <v>6</v>
      </c>
      <c r="O9">
        <f t="shared" si="1"/>
        <v>663.2044222218243</v>
      </c>
      <c r="P9">
        <f t="shared" si="0"/>
        <v>386.97341046180736</v>
      </c>
    </row>
    <row r="10" spans="1:18">
      <c r="A10">
        <v>7</v>
      </c>
      <c r="B10">
        <v>0</v>
      </c>
      <c r="G10" s="48"/>
      <c r="H10">
        <v>449.67</v>
      </c>
      <c r="M10" s="45"/>
      <c r="N10">
        <v>7</v>
      </c>
      <c r="O10">
        <f t="shared" si="1"/>
        <v>742.7889528884433</v>
      </c>
      <c r="P10">
        <f t="shared" si="0"/>
        <v>401.3057589974299</v>
      </c>
    </row>
    <row r="11" spans="1:18">
      <c r="A11">
        <v>8</v>
      </c>
      <c r="B11">
        <v>0</v>
      </c>
      <c r="G11" s="48"/>
      <c r="H11">
        <v>449.67</v>
      </c>
      <c r="M11" s="45"/>
      <c r="N11">
        <v>8</v>
      </c>
      <c r="O11">
        <f t="shared" si="1"/>
        <v>831.92362723505653</v>
      </c>
      <c r="P11">
        <f t="shared" si="0"/>
        <v>416.16893525659395</v>
      </c>
    </row>
    <row r="12" spans="1:18">
      <c r="A12">
        <v>9</v>
      </c>
      <c r="B12">
        <v>0</v>
      </c>
      <c r="G12" s="48"/>
      <c r="H12">
        <v>449.67</v>
      </c>
      <c r="M12" s="45"/>
      <c r="N12">
        <v>9</v>
      </c>
      <c r="O12">
        <f t="shared" si="1"/>
        <v>931.75446250326343</v>
      </c>
      <c r="P12">
        <f t="shared" si="0"/>
        <v>431.58259952535673</v>
      </c>
    </row>
    <row r="13" spans="1:18">
      <c r="A13">
        <v>10</v>
      </c>
      <c r="B13">
        <v>0</v>
      </c>
      <c r="G13" s="48"/>
      <c r="H13">
        <v>449.67</v>
      </c>
      <c r="M13" s="45"/>
    </row>
    <row r="14" spans="1:18">
      <c r="A14">
        <v>11</v>
      </c>
      <c r="B14">
        <v>0</v>
      </c>
      <c r="G14" s="48"/>
      <c r="H14">
        <v>449.67</v>
      </c>
      <c r="M14" s="45"/>
      <c r="N14">
        <v>10</v>
      </c>
      <c r="O14">
        <f>O12*(1+Q2)</f>
        <v>969.02464100339398</v>
      </c>
    </row>
    <row r="15" spans="1:18">
      <c r="A15">
        <v>12</v>
      </c>
      <c r="B15">
        <v>0</v>
      </c>
      <c r="G15" s="48"/>
      <c r="H15">
        <v>449.67</v>
      </c>
      <c r="M15" s="45"/>
      <c r="N15" t="s">
        <v>126</v>
      </c>
      <c r="O15">
        <f>O14/(R2-Q2)</f>
        <v>24225.616025084848</v>
      </c>
      <c r="P15">
        <f>O15/POWER(1+R2,10)</f>
        <v>11221.147587659274</v>
      </c>
    </row>
    <row r="16" spans="1:18">
      <c r="A16">
        <v>13</v>
      </c>
      <c r="B16">
        <v>0</v>
      </c>
      <c r="M16" s="45"/>
    </row>
    <row r="17" spans="1:16">
      <c r="A17">
        <v>14</v>
      </c>
      <c r="B17">
        <v>0</v>
      </c>
      <c r="M17" s="45"/>
      <c r="N17" t="s">
        <v>122</v>
      </c>
      <c r="P17">
        <f>SUM(P3:P15)</f>
        <v>14905.460374369261</v>
      </c>
    </row>
    <row r="18" spans="1:16">
      <c r="A18">
        <v>15</v>
      </c>
      <c r="B18">
        <v>0</v>
      </c>
    </row>
    <row r="19" spans="1:16">
      <c r="A19">
        <v>16</v>
      </c>
      <c r="B19">
        <v>0</v>
      </c>
    </row>
    <row r="20" spans="1:16">
      <c r="A20">
        <v>17</v>
      </c>
      <c r="B20">
        <v>0</v>
      </c>
    </row>
    <row r="21" spans="1:16">
      <c r="A21">
        <v>18</v>
      </c>
      <c r="B21">
        <v>8094</v>
      </c>
      <c r="G21" t="s">
        <v>117</v>
      </c>
      <c r="H21">
        <v>-43297</v>
      </c>
    </row>
    <row r="22" spans="1:16">
      <c r="A22">
        <v>19</v>
      </c>
      <c r="B22">
        <v>8094</v>
      </c>
      <c r="G22" s="48" t="s">
        <v>118</v>
      </c>
      <c r="H22">
        <v>0</v>
      </c>
    </row>
    <row r="23" spans="1:16">
      <c r="A23">
        <v>20</v>
      </c>
      <c r="B23">
        <v>8094</v>
      </c>
      <c r="G23" s="48"/>
      <c r="H23">
        <v>0</v>
      </c>
    </row>
    <row r="24" spans="1:16">
      <c r="A24">
        <v>21</v>
      </c>
      <c r="B24">
        <v>8094</v>
      </c>
      <c r="G24" s="48"/>
      <c r="H24">
        <v>14757.08</v>
      </c>
    </row>
    <row r="25" spans="1:16">
      <c r="A25">
        <v>22</v>
      </c>
      <c r="B25">
        <v>68544</v>
      </c>
      <c r="G25" s="48"/>
      <c r="H25">
        <v>14757.05</v>
      </c>
    </row>
    <row r="26" spans="1:16">
      <c r="A26" t="s">
        <v>91</v>
      </c>
      <c r="B26" s="20">
        <f>IRR(B4:B25)</f>
        <v>3.543862055325242E-2</v>
      </c>
      <c r="G26" s="48"/>
      <c r="H26">
        <v>14757.05</v>
      </c>
      <c r="J26" t="s">
        <v>119</v>
      </c>
      <c r="K26" s="20">
        <f>IRR(H21:H33)</f>
        <v>5.5807346303569094E-3</v>
      </c>
    </row>
    <row r="27" spans="1:16">
      <c r="G27" s="48"/>
    </row>
    <row r="28" spans="1:16">
      <c r="G28" s="48"/>
      <c r="O28">
        <v>0</v>
      </c>
    </row>
    <row r="29" spans="1:16">
      <c r="G29" s="48"/>
      <c r="M29" s="50" t="s">
        <v>127</v>
      </c>
      <c r="N29" s="20">
        <v>5.0000000000000001E-3</v>
      </c>
      <c r="O29">
        <f>(1+O28)*N29</f>
        <v>5.0000000000000001E-3</v>
      </c>
    </row>
    <row r="30" spans="1:16">
      <c r="G30" s="48"/>
      <c r="M30" s="50"/>
      <c r="N30" s="20">
        <v>7.0000000000000001E-3</v>
      </c>
      <c r="O30">
        <f>(1+O29)*N30</f>
        <v>7.0349999999999996E-3</v>
      </c>
    </row>
    <row r="31" spans="1:16">
      <c r="G31" s="48"/>
      <c r="M31" s="50"/>
      <c r="N31" s="20">
        <v>1.2E-2</v>
      </c>
      <c r="O31">
        <f t="shared" ref="O31:O34" si="2">(1+O30)*N31</f>
        <v>1.2084419999999998E-2</v>
      </c>
    </row>
    <row r="32" spans="1:16">
      <c r="G32" s="48"/>
      <c r="M32" s="50"/>
      <c r="N32" s="20">
        <v>1.7999999999999999E-2</v>
      </c>
      <c r="O32">
        <f t="shared" si="2"/>
        <v>1.8217519559999999E-2</v>
      </c>
    </row>
    <row r="33" spans="7:16">
      <c r="G33" s="48"/>
      <c r="M33" s="50"/>
      <c r="N33" s="20">
        <v>2.4E-2</v>
      </c>
      <c r="O33">
        <f t="shared" si="2"/>
        <v>2.4437220469440003E-2</v>
      </c>
    </row>
    <row r="34" spans="7:16">
      <c r="M34" s="50"/>
      <c r="N34" s="20">
        <v>2.8000000000000001E-2</v>
      </c>
      <c r="O34">
        <f t="shared" si="2"/>
        <v>2.8684242173144324E-2</v>
      </c>
    </row>
    <row r="35" spans="7:16">
      <c r="M35" s="50"/>
    </row>
    <row r="36" spans="7:16">
      <c r="M36" s="50"/>
      <c r="N36" s="49">
        <f>SUM(O29:O34)</f>
        <v>9.5458402202584336E-2</v>
      </c>
      <c r="O36" s="49"/>
      <c r="P36" s="20">
        <f>N36/6</f>
        <v>1.5909733700430723E-2</v>
      </c>
    </row>
    <row r="37" spans="7:16">
      <c r="M37" s="44"/>
    </row>
    <row r="38" spans="7:16">
      <c r="M38" s="44"/>
    </row>
    <row r="39" spans="7:16">
      <c r="M39" s="44"/>
    </row>
  </sheetData>
  <mergeCells count="5">
    <mergeCell ref="G4:G15"/>
    <mergeCell ref="M2:M17"/>
    <mergeCell ref="N36:O36"/>
    <mergeCell ref="M29:M36"/>
    <mergeCell ref="G22:G3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T14"/>
  <sheetViews>
    <sheetView workbookViewId="0">
      <selection activeCell="S18" sqref="S18"/>
    </sheetView>
  </sheetViews>
  <sheetFormatPr defaultRowHeight="13.5"/>
  <cols>
    <col min="3" max="3" width="10.5" bestFit="1" customWidth="1"/>
    <col min="5" max="5" width="10.5" bestFit="1" customWidth="1"/>
    <col min="7" max="7" width="10.5" bestFit="1" customWidth="1"/>
    <col min="10" max="10" width="11.125" customWidth="1"/>
    <col min="11" max="11" width="10.625" customWidth="1"/>
    <col min="12" max="12" width="10.5" bestFit="1" customWidth="1"/>
    <col min="13" max="13" width="10.5" customWidth="1"/>
    <col min="14" max="14" width="10.5" bestFit="1" customWidth="1"/>
  </cols>
  <sheetData>
    <row r="6" spans="3:20">
      <c r="C6">
        <v>300000</v>
      </c>
      <c r="J6" s="33">
        <v>42571</v>
      </c>
      <c r="K6" s="33">
        <v>51672</v>
      </c>
      <c r="L6">
        <v>300</v>
      </c>
    </row>
    <row r="7" spans="3:20" ht="13.5" customHeight="1">
      <c r="C7" t="s">
        <v>106</v>
      </c>
      <c r="D7">
        <v>1000</v>
      </c>
      <c r="G7">
        <v>970</v>
      </c>
      <c r="N7" s="45" t="s">
        <v>110</v>
      </c>
      <c r="O7">
        <v>770</v>
      </c>
      <c r="Q7" s="34" t="s">
        <v>111</v>
      </c>
      <c r="R7">
        <v>4.1399999999999999E-2</v>
      </c>
    </row>
    <row r="8" spans="3:20">
      <c r="C8" s="33">
        <v>42571</v>
      </c>
      <c r="E8" s="33">
        <v>43881</v>
      </c>
      <c r="G8" s="33">
        <v>43910</v>
      </c>
      <c r="N8" s="45"/>
      <c r="Q8" s="51" t="s">
        <v>113</v>
      </c>
    </row>
    <row r="9" spans="3:20">
      <c r="C9" t="s">
        <v>112</v>
      </c>
      <c r="D9">
        <v>44</v>
      </c>
      <c r="G9">
        <v>2</v>
      </c>
      <c r="L9">
        <f>SUM(D9:J9)</f>
        <v>46</v>
      </c>
      <c r="N9" s="45"/>
      <c r="Q9" s="51"/>
    </row>
    <row r="10" spans="3:20">
      <c r="N10" s="45"/>
      <c r="Q10" s="51"/>
    </row>
    <row r="11" spans="3:20">
      <c r="C11" t="s">
        <v>107</v>
      </c>
      <c r="D11">
        <v>6000</v>
      </c>
      <c r="E11">
        <v>1680</v>
      </c>
      <c r="N11" s="45"/>
      <c r="O11">
        <f>O7*L13</f>
        <v>195580</v>
      </c>
      <c r="P11">
        <f>D13-O11</f>
        <v>50800</v>
      </c>
      <c r="Q11" s="51"/>
      <c r="R11">
        <f>O11*R7/12</f>
        <v>674.75099999999998</v>
      </c>
      <c r="T11">
        <f>O7+R11</f>
        <v>1444.751</v>
      </c>
    </row>
    <row r="12" spans="3:20">
      <c r="C12" t="s">
        <v>108</v>
      </c>
      <c r="D12">
        <f>D7*D9+G7*G9+SUM(D11:G11)</f>
        <v>53620</v>
      </c>
      <c r="N12" s="45"/>
      <c r="Q12" s="51"/>
    </row>
    <row r="13" spans="3:20">
      <c r="C13" t="s">
        <v>109</v>
      </c>
      <c r="D13">
        <f>C6-D12</f>
        <v>246380</v>
      </c>
      <c r="L13">
        <f>L6-L9</f>
        <v>254</v>
      </c>
      <c r="N13" s="45"/>
      <c r="Q13" s="51"/>
    </row>
    <row r="14" spans="3:20">
      <c r="N14" s="45"/>
      <c r="Q14" s="51"/>
    </row>
  </sheetData>
  <mergeCells count="2">
    <mergeCell ref="N7:N14"/>
    <mergeCell ref="Q8:Q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/>
  <sheetData>
    <row r="2" spans="1:5">
      <c r="A2" t="s">
        <v>57</v>
      </c>
    </row>
    <row r="3" spans="1:5">
      <c r="B3" t="s">
        <v>33</v>
      </c>
    </row>
    <row r="4" spans="1:5">
      <c r="B4" t="s">
        <v>31</v>
      </c>
      <c r="E4" t="str">
        <f>ASC(B4)</f>
        <v>abcdef</v>
      </c>
    </row>
    <row r="5" spans="1:5">
      <c r="B5" t="s">
        <v>34</v>
      </c>
    </row>
    <row r="6" spans="1:5">
      <c r="B6" t="s">
        <v>32</v>
      </c>
      <c r="E6" t="str">
        <f>DBCS(B6)</f>
        <v>ａｂｃｄｅｆ</v>
      </c>
    </row>
    <row r="12" spans="1:5">
      <c r="A12" t="s">
        <v>35</v>
      </c>
    </row>
    <row r="13" spans="1:5">
      <c r="B13" s="3" t="s">
        <v>36</v>
      </c>
    </row>
    <row r="15" spans="1: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B12" sqref="B12"/>
    </sheetView>
  </sheetViews>
  <sheetFormatPr defaultRowHeight="13.5"/>
  <cols>
    <col min="1" max="1" width="26.875" customWidth="1"/>
    <col min="2" max="2" width="72.5" customWidth="1"/>
  </cols>
  <sheetData>
    <row r="1" spans="1:2" ht="14.25">
      <c r="A1" s="57">
        <v>1624000629</v>
      </c>
      <c r="B1" s="58">
        <f>(A1+8*3600)/86400+70*365+19</f>
        <v>44365.63690972222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/>
  <cols>
    <col min="5" max="5" width="12.75" bestFit="1" customWidth="1"/>
    <col min="10" max="10" width="13.75" customWidth="1"/>
    <col min="11" max="11" width="13" bestFit="1" customWidth="1"/>
  </cols>
  <sheetData>
    <row r="3" spans="3:14">
      <c r="C3" s="52" t="s">
        <v>85</v>
      </c>
      <c r="D3" s="52"/>
      <c r="E3" s="52"/>
      <c r="G3" s="53" t="s">
        <v>86</v>
      </c>
      <c r="H3" s="53"/>
      <c r="I3" s="53"/>
      <c r="J3" s="53"/>
      <c r="K3" s="53"/>
      <c r="M3" s="54" t="s">
        <v>80</v>
      </c>
      <c r="N3" s="54"/>
    </row>
    <row r="4" spans="3:14">
      <c r="C4" t="s">
        <v>81</v>
      </c>
      <c r="D4" t="s">
        <v>82</v>
      </c>
      <c r="E4" t="s">
        <v>79</v>
      </c>
      <c r="I4" t="s">
        <v>83</v>
      </c>
      <c r="J4" t="s">
        <v>84</v>
      </c>
      <c r="K4" s="17" t="s">
        <v>89</v>
      </c>
      <c r="L4" s="17"/>
      <c r="M4" s="17" t="s">
        <v>87</v>
      </c>
      <c r="N4" s="17" t="s">
        <v>88</v>
      </c>
    </row>
    <row r="5" spans="3:14">
      <c r="C5">
        <v>-7801.92</v>
      </c>
      <c r="D5">
        <v>-1573.15</v>
      </c>
      <c r="E5">
        <f>RADIANS(E6)</f>
        <v>0.24347343065320895</v>
      </c>
      <c r="G5" s="19">
        <f>IF(C5=0,PI()/2,ATAN(D5/C5))</f>
        <v>0.19896839430209504</v>
      </c>
      <c r="H5" s="19">
        <f>IF(AND(G5&lt;=0,C5&lt;0),PI(),0)+IF(AND(G5&lt;=0,D5&lt;=0),PI()*2,0) + IF(AND(C5&lt;=0,D5&lt;0,G5&gt;0),PI(),0)</f>
        <v>3.1415926535897931</v>
      </c>
      <c r="I5" s="19">
        <f>H5+G5</f>
        <v>3.3405610478918883</v>
      </c>
      <c r="J5" s="19">
        <f>I5-E5</f>
        <v>3.0970876172386794</v>
      </c>
      <c r="K5" s="19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>
      <c r="E6" s="18">
        <v>13.95</v>
      </c>
      <c r="G6" s="19">
        <f>DEGREES(G5)</f>
        <v>11.400049250004862</v>
      </c>
      <c r="H6" s="19">
        <f>DEGREES(H5)</f>
        <v>180</v>
      </c>
      <c r="I6" s="19">
        <f>DEGREES(I5)</f>
        <v>191.40004925000488</v>
      </c>
      <c r="J6" s="19">
        <f>DEGREES(J5)</f>
        <v>177.45004925000487</v>
      </c>
      <c r="K6" s="19"/>
    </row>
    <row r="7" spans="3:14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>
      <c r="G8" s="19">
        <f>DEGREES(G7)</f>
        <v>-168.59995074999512</v>
      </c>
      <c r="I8" s="19">
        <f>DEGREES(I7)</f>
        <v>191.40004925000488</v>
      </c>
    </row>
    <row r="9" spans="3:14">
      <c r="J9">
        <v>-6660.07</v>
      </c>
      <c r="K9">
        <v>-1066.96</v>
      </c>
      <c r="M9">
        <v>-6720.3584434279974</v>
      </c>
      <c r="N9">
        <v>575.95003111904077</v>
      </c>
    </row>
    <row r="10" spans="3:14">
      <c r="J10">
        <v>-7884.98</v>
      </c>
      <c r="K10">
        <v>-1371.22</v>
      </c>
    </row>
    <row r="13" spans="3:14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>
      <c r="E15" s="19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68"/>
  <sheetViews>
    <sheetView topLeftCell="A13" workbookViewId="0">
      <selection activeCell="J25" sqref="J25"/>
    </sheetView>
  </sheetViews>
  <sheetFormatPr defaultRowHeight="13.5"/>
  <cols>
    <col min="1" max="3" width="9" style="4"/>
    <col min="4" max="4" width="26.375" style="4" customWidth="1"/>
    <col min="5" max="5" width="17.625" style="4" customWidth="1"/>
    <col min="6" max="13" width="9" style="4"/>
    <col min="14" max="21" width="3.625" style="4" customWidth="1"/>
    <col min="22" max="16384" width="9" style="4"/>
  </cols>
  <sheetData>
    <row r="3" spans="1:21">
      <c r="E3" s="6" t="s">
        <v>64</v>
      </c>
      <c r="F3" s="6">
        <v>2</v>
      </c>
      <c r="G3" s="6" t="s">
        <v>65</v>
      </c>
      <c r="H3" s="6" t="s">
        <v>67</v>
      </c>
      <c r="I3" s="6" t="s">
        <v>66</v>
      </c>
      <c r="J3" s="6" t="s">
        <v>68</v>
      </c>
      <c r="K3" s="6" t="s">
        <v>69</v>
      </c>
      <c r="L3" s="4">
        <v>10</v>
      </c>
    </row>
    <row r="5" spans="1:21">
      <c r="A5" s="55">
        <f>SUM(B5:B9)</f>
        <v>136</v>
      </c>
      <c r="B5" s="5">
        <v>10</v>
      </c>
      <c r="E5" s="6">
        <v>8</v>
      </c>
      <c r="F5" s="6">
        <v>18</v>
      </c>
      <c r="G5" s="6">
        <v>28</v>
      </c>
    </row>
    <row r="6" spans="1:21">
      <c r="A6" s="55"/>
      <c r="B6" s="5">
        <v>18</v>
      </c>
      <c r="C6" s="4" t="s">
        <v>59</v>
      </c>
      <c r="E6" s="6">
        <v>0</v>
      </c>
      <c r="F6" s="6">
        <v>80</v>
      </c>
      <c r="G6" s="6">
        <v>150</v>
      </c>
      <c r="N6" s="7"/>
      <c r="O6" s="7"/>
      <c r="P6" s="7"/>
      <c r="Q6" s="8"/>
      <c r="R6" s="9"/>
      <c r="S6" s="7"/>
      <c r="T6" s="7"/>
      <c r="U6" s="7"/>
    </row>
    <row r="7" spans="1:21">
      <c r="A7" s="55"/>
      <c r="B7" s="5">
        <v>70</v>
      </c>
      <c r="C7" s="4" t="s">
        <v>58</v>
      </c>
      <c r="N7" s="7"/>
      <c r="O7" s="7"/>
      <c r="P7" s="7"/>
      <c r="Q7" s="9"/>
      <c r="R7" s="8"/>
      <c r="S7" s="7"/>
      <c r="T7" s="7"/>
      <c r="U7" s="7"/>
    </row>
    <row r="8" spans="1:21">
      <c r="A8" s="55"/>
      <c r="B8" s="5">
        <v>28</v>
      </c>
      <c r="C8" s="4" t="s">
        <v>60</v>
      </c>
      <c r="E8" s="6">
        <v>10</v>
      </c>
      <c r="F8" s="6">
        <v>20</v>
      </c>
      <c r="G8" s="6">
        <v>30</v>
      </c>
      <c r="H8" s="6">
        <v>50</v>
      </c>
      <c r="I8" s="6">
        <v>70</v>
      </c>
      <c r="J8" s="6">
        <v>100</v>
      </c>
      <c r="N8" s="7"/>
      <c r="O8" s="7"/>
      <c r="P8" s="7"/>
      <c r="Q8" s="7"/>
      <c r="R8" s="7"/>
      <c r="S8" s="7"/>
      <c r="T8" s="7"/>
      <c r="U8" s="7"/>
    </row>
    <row r="9" spans="1:21">
      <c r="A9" s="55"/>
      <c r="B9" s="5">
        <v>10</v>
      </c>
      <c r="C9" s="4" t="s">
        <v>61</v>
      </c>
      <c r="E9" s="6">
        <v>100</v>
      </c>
      <c r="F9" s="6">
        <v>300</v>
      </c>
      <c r="G9" s="6">
        <v>1000</v>
      </c>
      <c r="H9" s="6">
        <v>2000</v>
      </c>
      <c r="I9" s="6">
        <v>3000</v>
      </c>
      <c r="J9" s="6">
        <v>5000</v>
      </c>
      <c r="N9" s="10"/>
      <c r="O9" s="10"/>
      <c r="P9" s="10"/>
      <c r="Q9" s="10"/>
      <c r="R9" s="10"/>
      <c r="S9" s="10"/>
      <c r="T9" s="10"/>
      <c r="U9" s="10"/>
    </row>
    <row r="10" spans="1:21">
      <c r="N10" s="12"/>
      <c r="O10" s="13"/>
      <c r="P10" s="13"/>
      <c r="Q10" s="13"/>
      <c r="R10" s="13"/>
      <c r="S10" s="13"/>
      <c r="T10" s="13"/>
      <c r="U10" s="14"/>
    </row>
    <row r="11" spans="1:21">
      <c r="N11" s="11"/>
      <c r="O11" s="11"/>
      <c r="P11" s="11"/>
      <c r="Q11" s="11"/>
      <c r="R11" s="11"/>
      <c r="S11" s="11"/>
      <c r="T11" s="11"/>
      <c r="U11" s="11"/>
    </row>
    <row r="12" spans="1:21">
      <c r="A12" s="55">
        <f>SUM(B12:B16)</f>
        <v>136</v>
      </c>
      <c r="B12" s="5">
        <v>28</v>
      </c>
      <c r="C12" s="4" t="s">
        <v>60</v>
      </c>
      <c r="F12" s="6">
        <v>10</v>
      </c>
      <c r="G12" s="6">
        <v>20</v>
      </c>
      <c r="H12" s="6">
        <v>30</v>
      </c>
      <c r="I12" s="6">
        <v>50</v>
      </c>
      <c r="J12" s="6">
        <v>70</v>
      </c>
      <c r="K12" s="6">
        <v>100</v>
      </c>
      <c r="N12" s="7"/>
      <c r="O12" s="7"/>
      <c r="P12" s="7"/>
      <c r="Q12" s="7"/>
      <c r="R12" s="7"/>
      <c r="S12" s="7"/>
      <c r="T12" s="7"/>
      <c r="U12" s="7"/>
    </row>
    <row r="13" spans="1:21">
      <c r="A13" s="55"/>
      <c r="B13" s="5">
        <v>30</v>
      </c>
      <c r="C13" s="4" t="s">
        <v>62</v>
      </c>
      <c r="E13" s="4">
        <v>10</v>
      </c>
      <c r="F13" s="4">
        <f>LOOKUP($E13,$E$8:$J$8,$E$9:$J$9)+LOOKUP(F$12,$E$8:$J$8,$E$9:$J$9)</f>
        <v>200</v>
      </c>
      <c r="G13" s="4">
        <f>LOOKUP($E13,$E$8:$J$8,$E$9:$J$9)+LOOKUP(G$12,$E$8:$J$8,$E$9:$J$9)</f>
        <v>400</v>
      </c>
      <c r="H13" s="4">
        <f t="shared" ref="H13:K14" si="0">LOOKUP($E13,$E$8:$J$8,$E$9:$J$9)+LOOKUP(H$12,$E$8:$J$8,$E$9:$J$9)</f>
        <v>1100</v>
      </c>
      <c r="I13" s="4">
        <f t="shared" si="0"/>
        <v>2100</v>
      </c>
      <c r="J13" s="4">
        <f t="shared" si="0"/>
        <v>3100</v>
      </c>
      <c r="K13" s="4">
        <f t="shared" si="0"/>
        <v>5100</v>
      </c>
      <c r="N13" s="7"/>
      <c r="O13" s="7"/>
      <c r="P13" s="7"/>
      <c r="Q13" s="8"/>
      <c r="R13" s="9"/>
      <c r="S13" s="7"/>
      <c r="T13" s="7"/>
      <c r="U13" s="7"/>
    </row>
    <row r="14" spans="1:21">
      <c r="A14" s="55"/>
      <c r="B14" s="5">
        <v>18</v>
      </c>
      <c r="C14" s="4" t="s">
        <v>59</v>
      </c>
      <c r="E14" s="4">
        <v>20</v>
      </c>
      <c r="F14" s="4">
        <f>LOOKUP(E14,$E$8:$J$8,$E$9:$J$9)+LOOKUP(F$12,$E$8:$J$8,$E$9:$J$9)</f>
        <v>400</v>
      </c>
      <c r="G14" s="4">
        <f>LOOKUP($E14,$E$8:$J$8,$E$9:$J$9)+LOOKUP(G$12,$E$8:$J$8,$E$9:$J$9)</f>
        <v>600</v>
      </c>
      <c r="H14" s="4">
        <f t="shared" si="0"/>
        <v>1300</v>
      </c>
      <c r="I14" s="4">
        <f t="shared" si="0"/>
        <v>2300</v>
      </c>
      <c r="J14" s="4">
        <f t="shared" si="0"/>
        <v>3300</v>
      </c>
      <c r="K14" s="4">
        <f t="shared" si="0"/>
        <v>5300</v>
      </c>
      <c r="N14" s="7"/>
      <c r="O14" s="7"/>
      <c r="P14" s="7"/>
      <c r="Q14" s="9"/>
      <c r="R14" s="8"/>
      <c r="S14" s="7"/>
      <c r="T14" s="7"/>
      <c r="U14" s="7"/>
    </row>
    <row r="15" spans="1:21">
      <c r="A15" s="55"/>
      <c r="B15" s="5">
        <v>50</v>
      </c>
      <c r="C15" s="4" t="s">
        <v>63</v>
      </c>
      <c r="E15" s="4">
        <v>30</v>
      </c>
      <c r="F15" s="4">
        <f>LOOKUP(E15,$E$8:$J$8,$E$9:$J$9)+LOOKUP(F$12,$E$8:$J$8,$E$9:$J$9)</f>
        <v>1100</v>
      </c>
      <c r="G15" s="4">
        <f t="shared" ref="G15:K18" si="1">LOOKUP($E15,$E$8:$J$8,$E$9:$J$9)+LOOKUP(G$12,$E$8:$J$8,$E$9:$J$9)</f>
        <v>1300</v>
      </c>
      <c r="H15" s="4">
        <f t="shared" si="1"/>
        <v>2000</v>
      </c>
      <c r="I15" s="4">
        <f t="shared" si="1"/>
        <v>3000</v>
      </c>
      <c r="J15" s="4">
        <f t="shared" si="1"/>
        <v>4000</v>
      </c>
      <c r="K15" s="4">
        <f t="shared" si="1"/>
        <v>6000</v>
      </c>
    </row>
    <row r="16" spans="1:21">
      <c r="A16" s="55"/>
      <c r="B16" s="5">
        <v>10</v>
      </c>
      <c r="E16" s="4">
        <v>50</v>
      </c>
      <c r="F16" s="4">
        <f t="shared" ref="F16:F18" si="2">LOOKUP(E16,$E$8:$J$8,$E$9:$J$9)+LOOKUP(F$12,$E$8:$J$8,$E$9:$J$9)</f>
        <v>2100</v>
      </c>
      <c r="G16" s="4">
        <f t="shared" si="1"/>
        <v>2300</v>
      </c>
      <c r="H16" s="4">
        <f t="shared" si="1"/>
        <v>3000</v>
      </c>
      <c r="I16" s="4">
        <f t="shared" si="1"/>
        <v>4000</v>
      </c>
      <c r="J16" s="4">
        <f t="shared" si="1"/>
        <v>5000</v>
      </c>
      <c r="K16" s="4">
        <f t="shared" si="1"/>
        <v>7000</v>
      </c>
    </row>
    <row r="17" spans="4:11">
      <c r="E17" s="4">
        <v>70</v>
      </c>
      <c r="F17" s="4">
        <f t="shared" si="2"/>
        <v>3100</v>
      </c>
      <c r="G17" s="4">
        <f t="shared" si="1"/>
        <v>3300</v>
      </c>
      <c r="H17" s="4">
        <f t="shared" si="1"/>
        <v>4000</v>
      </c>
      <c r="I17" s="4">
        <f t="shared" si="1"/>
        <v>5000</v>
      </c>
      <c r="J17" s="4">
        <f t="shared" si="1"/>
        <v>6000</v>
      </c>
      <c r="K17" s="4">
        <f t="shared" si="1"/>
        <v>8000</v>
      </c>
    </row>
    <row r="18" spans="4:11">
      <c r="E18" s="4">
        <v>100</v>
      </c>
      <c r="F18" s="4">
        <f t="shared" si="2"/>
        <v>5100</v>
      </c>
      <c r="G18" s="4">
        <f t="shared" si="1"/>
        <v>5300</v>
      </c>
      <c r="H18" s="4">
        <f t="shared" si="1"/>
        <v>6000</v>
      </c>
      <c r="I18" s="4">
        <f t="shared" si="1"/>
        <v>7000</v>
      </c>
      <c r="J18" s="4">
        <f t="shared" si="1"/>
        <v>8000</v>
      </c>
      <c r="K18" s="4">
        <f>LOOKUP($E18,$E$8:$J$8,$E$9:$J$9)+LOOKUP(K$12,$E$8:$J$8,$E$9:$J$9)</f>
        <v>10000</v>
      </c>
    </row>
    <row r="23" spans="4:11">
      <c r="E23" s="4" t="s">
        <v>71</v>
      </c>
      <c r="G23" s="4" t="s">
        <v>72</v>
      </c>
      <c r="I23" s="4" t="s">
        <v>73</v>
      </c>
    </row>
    <row r="24" spans="4:11">
      <c r="D24" s="4" t="s">
        <v>74</v>
      </c>
      <c r="E24" s="4">
        <v>80</v>
      </c>
      <c r="G24" s="4">
        <v>20</v>
      </c>
    </row>
    <row r="25" spans="4:11">
      <c r="D25" s="4" t="s">
        <v>75</v>
      </c>
      <c r="E25" s="4">
        <v>20</v>
      </c>
      <c r="F25" s="15">
        <v>0.3</v>
      </c>
      <c r="G25" s="4">
        <v>80</v>
      </c>
      <c r="H25" s="15">
        <v>0.5</v>
      </c>
    </row>
    <row r="31" spans="4:11">
      <c r="D31" s="4">
        <v>11454.4</v>
      </c>
      <c r="F31" s="4">
        <v>1408</v>
      </c>
    </row>
    <row r="32" spans="4:11">
      <c r="F32" s="4">
        <v>804</v>
      </c>
    </row>
    <row r="33" spans="2:4">
      <c r="B33" s="4">
        <f>SUM(C33:C34)</f>
        <v>3642.2</v>
      </c>
      <c r="C33" s="4">
        <v>2555.56</v>
      </c>
    </row>
    <row r="34" spans="2:4">
      <c r="C34" s="4">
        <v>1086.6400000000001</v>
      </c>
    </row>
    <row r="39" spans="2:4">
      <c r="D39" s="4">
        <v>1380</v>
      </c>
    </row>
    <row r="40" spans="2:4">
      <c r="D40" s="4">
        <v>2014.3</v>
      </c>
    </row>
    <row r="41" spans="2:4">
      <c r="B41" s="4">
        <f>B33-C41</f>
        <v>6.919999999999618</v>
      </c>
      <c r="C41" s="4">
        <f>D41+D39</f>
        <v>3635.28</v>
      </c>
      <c r="D41" s="4">
        <v>2255.2800000000002</v>
      </c>
    </row>
    <row r="42" spans="2:4">
      <c r="C42" s="4">
        <f>C41+D40</f>
        <v>5649.58</v>
      </c>
    </row>
    <row r="48" spans="2:4">
      <c r="D48" s="21">
        <v>765269496.78999996</v>
      </c>
    </row>
    <row r="51" spans="3:13">
      <c r="D51" s="21">
        <v>1486215187.5999999</v>
      </c>
    </row>
    <row r="52" spans="3:13">
      <c r="D52" s="21">
        <v>984032174.19000006</v>
      </c>
    </row>
    <row r="54" spans="3:13">
      <c r="C54" s="4" t="s">
        <v>92</v>
      </c>
      <c r="D54" s="21">
        <f>D51-D52</f>
        <v>502183013.40999985</v>
      </c>
    </row>
    <row r="56" spans="3:13">
      <c r="D56" s="21"/>
    </row>
    <row r="57" spans="3:13">
      <c r="D57" s="21">
        <v>887245.81</v>
      </c>
    </row>
    <row r="58" spans="3:13">
      <c r="D58" s="21">
        <v>209162813.22999999</v>
      </c>
      <c r="E58" s="21">
        <v>185229557.30000001</v>
      </c>
    </row>
    <row r="59" spans="3:13">
      <c r="D59" s="21">
        <v>52833840</v>
      </c>
      <c r="H59" s="56"/>
      <c r="I59" s="56"/>
      <c r="J59" s="56"/>
      <c r="K59" s="56"/>
      <c r="L59" s="56"/>
      <c r="M59" s="56"/>
    </row>
    <row r="60" spans="3:13">
      <c r="D60" s="21">
        <v>-66567.149999999994</v>
      </c>
    </row>
    <row r="61" spans="3:13">
      <c r="D61" s="21">
        <v>269151.49</v>
      </c>
    </row>
    <row r="65" spans="3:4">
      <c r="C65" s="4" t="s">
        <v>93</v>
      </c>
      <c r="D65" s="21">
        <f>SUM(D57:D61)</f>
        <v>263086483.38</v>
      </c>
    </row>
    <row r="68" spans="3:4">
      <c r="C68" s="4" t="s">
        <v>94</v>
      </c>
      <c r="D68" s="22">
        <f>D54+D65</f>
        <v>765269496.78999984</v>
      </c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L23"/>
  <sheetViews>
    <sheetView zoomScaleNormal="100" workbookViewId="0">
      <selection activeCell="F28" sqref="F28"/>
    </sheetView>
  </sheetViews>
  <sheetFormatPr defaultRowHeight="13.5"/>
  <cols>
    <col min="11" max="11" width="9.5" bestFit="1" customWidth="1"/>
  </cols>
  <sheetData>
    <row r="2" spans="5:10">
      <c r="E2">
        <f>STDEV(H2,I2,J2)</f>
        <v>1.5275252316519468</v>
      </c>
      <c r="H2">
        <v>1</v>
      </c>
      <c r="I2">
        <v>2</v>
      </c>
      <c r="J2">
        <v>4</v>
      </c>
    </row>
    <row r="4" spans="5:10">
      <c r="E4" t="s">
        <v>76</v>
      </c>
      <c r="F4">
        <v>18008</v>
      </c>
    </row>
    <row r="6" spans="5:10">
      <c r="E6" t="s">
        <v>77</v>
      </c>
      <c r="F6">
        <v>17977</v>
      </c>
      <c r="G6">
        <v>17977</v>
      </c>
      <c r="I6">
        <v>168</v>
      </c>
    </row>
    <row r="8" spans="5:10">
      <c r="E8" t="s">
        <v>78</v>
      </c>
      <c r="F8">
        <f>(F4-F6)/F4</f>
        <v>1.7214571301643715E-3</v>
      </c>
      <c r="G8" s="16">
        <f>1-G6/F4</f>
        <v>1.7214571301643611E-3</v>
      </c>
    </row>
    <row r="17" spans="3:12">
      <c r="H17" t="s">
        <v>103</v>
      </c>
      <c r="I17" t="s">
        <v>104</v>
      </c>
      <c r="L17" t="s">
        <v>105</v>
      </c>
    </row>
    <row r="18" spans="3:12">
      <c r="C18" t="s">
        <v>96</v>
      </c>
      <c r="H18">
        <v>10605890</v>
      </c>
      <c r="I18" t="s">
        <v>95</v>
      </c>
      <c r="L18" t="str">
        <f>CONCATENATE($C$18,H18,$C$19,LEN(I18),$C$20,I18,$C$21)</f>
        <v xml:space="preserve">(Left(g_csUserName, 8) = "10605890" And Left(g_csComputerName, 13) = "134-TECH-QR-A") Or _ </v>
      </c>
    </row>
    <row r="19" spans="3:12">
      <c r="C19" t="s">
        <v>97</v>
      </c>
      <c r="H19">
        <v>10605728</v>
      </c>
      <c r="I19" t="s">
        <v>100</v>
      </c>
      <c r="L19" t="str">
        <f>CONCATENATE($C$18,H19,$C$19,LEN(I19),$C$20,I19,$C$21)</f>
        <v xml:space="preserve">(Left(g_csUserName, 8) = "10605728" And Left(g_csComputerName, 13) = "134-DESI-LL-A") Or _ </v>
      </c>
    </row>
    <row r="20" spans="3:12">
      <c r="C20" t="s">
        <v>98</v>
      </c>
      <c r="H20">
        <v>10605729</v>
      </c>
      <c r="I20" t="s">
        <v>101</v>
      </c>
      <c r="L20" t="str">
        <f t="shared" ref="L20:L23" si="0">CONCATENATE($C$18,H20,$C$19,LEN(I20),$C$20,I20,$C$21)</f>
        <v xml:space="preserve">(Left(g_csUserName, 8) = "10605729" And Left(g_csComputerName, 14) = "135-DESI-LLd-A") Or _ </v>
      </c>
    </row>
    <row r="21" spans="3:12">
      <c r="C21" t="s">
        <v>99</v>
      </c>
      <c r="H21">
        <v>10605730</v>
      </c>
      <c r="I21" t="s">
        <v>102</v>
      </c>
      <c r="L21" t="str">
        <f t="shared" si="0"/>
        <v xml:space="preserve">(Left(g_csUserName, 8) = "10605730" And Left(g_csComputerName, 15) = "136-DESI-vcLL-A") Or _ </v>
      </c>
    </row>
    <row r="22" spans="3:12">
      <c r="H22">
        <v>10605728</v>
      </c>
      <c r="I22" t="s">
        <v>100</v>
      </c>
      <c r="L22" t="str">
        <f t="shared" si="0"/>
        <v xml:space="preserve">(Left(g_csUserName, 8) = "10605728" And Left(g_csComputerName, 13) = "134-DESI-LL-A") Or _ </v>
      </c>
    </row>
    <row r="23" spans="3:12">
      <c r="H23">
        <v>10605729</v>
      </c>
      <c r="I23" t="s">
        <v>101</v>
      </c>
      <c r="L23" t="str">
        <f t="shared" si="0"/>
        <v xml:space="preserve">(Left(g_csUserName, 8) = "10605729" And Left(g_csComputerName, 14) = "135-DESI-LLd-A") Or _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T19"/>
  <sheetViews>
    <sheetView workbookViewId="0">
      <selection activeCell="A5" sqref="A5"/>
    </sheetView>
  </sheetViews>
  <sheetFormatPr defaultRowHeight="13.5"/>
  <cols>
    <col min="1" max="2" width="10.5" bestFit="1" customWidth="1"/>
  </cols>
  <sheetData>
    <row r="3" spans="1:20" ht="14.25" thickBot="1"/>
    <row r="4" spans="1:20">
      <c r="B4" s="23"/>
      <c r="C4" s="24"/>
      <c r="D4" s="24"/>
      <c r="E4" s="24"/>
      <c r="F4" s="24"/>
      <c r="G4" s="24"/>
      <c r="H4" s="24"/>
      <c r="I4" s="24"/>
      <c r="J4" s="24"/>
      <c r="K4" s="24"/>
      <c r="L4" s="25"/>
    </row>
    <row r="5" spans="1:20">
      <c r="B5" s="26"/>
      <c r="C5" s="27"/>
      <c r="D5" s="27"/>
      <c r="E5" s="27"/>
      <c r="F5" s="27"/>
      <c r="G5" s="27"/>
      <c r="H5" s="27"/>
      <c r="I5" s="27"/>
      <c r="J5" s="27"/>
      <c r="K5" s="27"/>
      <c r="L5" s="28"/>
    </row>
    <row r="6" spans="1:20"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</row>
    <row r="7" spans="1:20" ht="14.25" thickBot="1">
      <c r="B7" s="29"/>
      <c r="C7" s="30"/>
      <c r="D7" s="30"/>
      <c r="E7" s="30"/>
      <c r="F7" s="30"/>
      <c r="G7" s="30"/>
      <c r="H7" s="30"/>
      <c r="I7" s="30"/>
      <c r="J7" s="30"/>
      <c r="K7" s="30"/>
      <c r="L7" s="31"/>
    </row>
    <row r="11" spans="1:20">
      <c r="B11" s="17"/>
      <c r="C11" s="42" t="s">
        <v>115</v>
      </c>
      <c r="F11" s="36">
        <v>21</v>
      </c>
      <c r="G11" s="36"/>
      <c r="H11" s="36" t="s">
        <v>116</v>
      </c>
    </row>
    <row r="12" spans="1:20">
      <c r="A12" s="33"/>
      <c r="B12" s="41">
        <v>0.28472222222222221</v>
      </c>
      <c r="C12" s="37" t="s">
        <v>114</v>
      </c>
      <c r="D12" s="41">
        <v>0.3215277777777778</v>
      </c>
      <c r="F12" s="39">
        <v>0.3125</v>
      </c>
      <c r="H12" s="39">
        <v>0.31944444444444448</v>
      </c>
    </row>
    <row r="13" spans="1:20">
      <c r="B13" s="17"/>
      <c r="D13" s="36"/>
      <c r="F13" s="39">
        <v>0.32291666666666669</v>
      </c>
      <c r="H13" s="39">
        <v>0.32430555555555557</v>
      </c>
      <c r="T13" s="32"/>
    </row>
    <row r="14" spans="1:20" ht="14.25">
      <c r="B14" s="40">
        <v>0.28055555555555556</v>
      </c>
      <c r="C14" s="38" t="s">
        <v>114</v>
      </c>
      <c r="D14" s="41">
        <v>0.31666666666666665</v>
      </c>
      <c r="F14" s="39">
        <v>0.33333333333333331</v>
      </c>
      <c r="H14" s="39">
        <v>0.33194444444444443</v>
      </c>
    </row>
    <row r="15" spans="1:20">
      <c r="B15" s="17"/>
      <c r="D15" s="36"/>
    </row>
    <row r="16" spans="1:20">
      <c r="B16" s="41">
        <v>0.27638888888888885</v>
      </c>
      <c r="C16" s="37" t="s">
        <v>114</v>
      </c>
      <c r="D16" s="41">
        <v>0.3125</v>
      </c>
    </row>
    <row r="17" spans="1:20">
      <c r="A17" s="33"/>
      <c r="B17" s="17"/>
      <c r="D17" s="36"/>
      <c r="T17" s="32"/>
    </row>
    <row r="19" spans="1:20" ht="14.25">
      <c r="B19" s="35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图表</vt:lpstr>
      <vt:lpstr>函数</vt:lpstr>
      <vt:lpstr>收益</vt:lpstr>
      <vt:lpstr>利率</vt:lpstr>
      <vt:lpstr>格式路径</vt:lpstr>
      <vt:lpstr>时间</vt:lpstr>
      <vt:lpstr>rotate</vt:lpstr>
      <vt:lpstr>temp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2021-06-18T07:29:06Z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